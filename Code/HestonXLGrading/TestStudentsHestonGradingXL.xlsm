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wli\OneDrive - University of Edinburgh\OOPA2018\FinalProject\Final-Project-01-24-2019-09-48-45\ytycmx\Code\HestonXLGrading\"/>
    </mc:Choice>
  </mc:AlternateContent>
  <xr:revisionPtr revIDLastSave="1" documentId="13_ncr:1_{D214D087-818A-44E6-B7D2-56138EB4E9BD}" xr6:coauthVersionLast="40" xr6:coauthVersionMax="40" xr10:uidLastSave="{E58F10C5-5C03-450A-9272-D55954AC4AF9}"/>
  <bookViews>
    <workbookView xWindow="0" yWindow="0" windowWidth="11620" windowHeight="6270" activeTab="5" xr2:uid="{00000000-000D-0000-FFFF-FFFF00000000}"/>
  </bookViews>
  <sheets>
    <sheet name="HestonFormula" sheetId="1" r:id="rId1"/>
    <sheet name="HestonCallMC" sheetId="7" r:id="rId2"/>
    <sheet name="Calibration" sheetId="2" r:id="rId3"/>
    <sheet name="LookbackMC" sheetId="3" r:id="rId4"/>
    <sheet name="AsianMC" sheetId="4" r:id="rId5"/>
    <sheet name="Summary" sheetId="6" r:id="rId6"/>
    <sheet name="Summary_static" sheetId="10" r:id="rId7"/>
  </sheets>
  <definedNames>
    <definedName name="studentName">Summary!$C$3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1" i="4" l="1"/>
  <c r="J11" i="2" l="1" a="1"/>
  <c r="J14" i="2" s="1"/>
  <c r="S2" i="6"/>
  <c r="K15" i="2" l="1"/>
  <c r="J15" i="2"/>
  <c r="K14" i="2"/>
  <c r="J12" i="2"/>
  <c r="K13" i="2"/>
  <c r="J13" i="2"/>
  <c r="K12" i="2"/>
  <c r="K11" i="2"/>
  <c r="J11" i="2"/>
  <c r="P8" i="2" s="1"/>
  <c r="J16" i="2"/>
  <c r="K17" i="2"/>
  <c r="J17" i="2"/>
  <c r="K16" i="2"/>
  <c r="M10" i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T10" i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AA10" i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M39" i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T39" i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AA39" i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M32" i="2"/>
  <c r="M28" i="2"/>
  <c r="M31" i="2"/>
  <c r="M30" i="2"/>
  <c r="M29" i="2"/>
  <c r="N17" i="3"/>
  <c r="N18" i="3"/>
  <c r="N16" i="3"/>
  <c r="O53" i="1"/>
  <c r="AC51" i="1"/>
  <c r="V14" i="1"/>
  <c r="O12" i="1"/>
  <c r="U39" i="1"/>
  <c r="U10" i="1"/>
  <c r="O22" i="1"/>
  <c r="V22" i="1"/>
  <c r="O21" i="1"/>
  <c r="O23" i="1"/>
  <c r="V11" i="1"/>
  <c r="AC22" i="1"/>
  <c r="AB20" i="1"/>
  <c r="AC40" i="1"/>
  <c r="O24" i="1"/>
  <c r="O49" i="1"/>
  <c r="U24" i="1"/>
  <c r="U38" i="1"/>
  <c r="AB40" i="1"/>
  <c r="V13" i="1"/>
  <c r="U48" i="1"/>
  <c r="V24" i="1"/>
  <c r="AB53" i="1"/>
  <c r="O15" i="1"/>
  <c r="V46" i="1"/>
  <c r="V52" i="1"/>
  <c r="AB22" i="1"/>
  <c r="N49" i="1"/>
  <c r="V51" i="1"/>
  <c r="AC52" i="1"/>
  <c r="N47" i="1"/>
  <c r="AB46" i="1"/>
  <c r="V49" i="1"/>
  <c r="V45" i="1"/>
  <c r="U52" i="1"/>
  <c r="AC9" i="1"/>
  <c r="V9" i="1"/>
  <c r="O14" i="1"/>
  <c r="AB50" i="1"/>
  <c r="AB39" i="1"/>
  <c r="O52" i="1"/>
  <c r="U23" i="1"/>
  <c r="AB24" i="1"/>
  <c r="V47" i="1"/>
  <c r="N14" i="1"/>
  <c r="AC48" i="1"/>
  <c r="AB38" i="1"/>
  <c r="N38" i="1"/>
  <c r="U17" i="1"/>
  <c r="N46" i="1"/>
  <c r="U15" i="1"/>
  <c r="U20" i="1"/>
  <c r="AC11" i="1"/>
  <c r="U46" i="1"/>
  <c r="O42" i="1"/>
  <c r="U49" i="1"/>
  <c r="N40" i="1"/>
  <c r="U12" i="1"/>
  <c r="V50" i="1"/>
  <c r="U19" i="1"/>
  <c r="AC17" i="1"/>
  <c r="N19" i="1"/>
  <c r="O13" i="1"/>
  <c r="O51" i="1"/>
  <c r="AB9" i="1"/>
  <c r="AC53" i="1"/>
  <c r="AB52" i="1"/>
  <c r="N52" i="1"/>
  <c r="N24" i="1"/>
  <c r="U22" i="1"/>
  <c r="AC43" i="1"/>
  <c r="O46" i="1"/>
  <c r="O47" i="1"/>
  <c r="N17" i="1"/>
  <c r="AC18" i="1"/>
  <c r="AB17" i="1"/>
  <c r="AC12" i="1"/>
  <c r="AB11" i="1"/>
  <c r="U14" i="1"/>
  <c r="N41" i="1"/>
  <c r="O18" i="1"/>
  <c r="O43" i="1"/>
  <c r="AC23" i="1"/>
  <c r="U51" i="1"/>
  <c r="AB14" i="1"/>
  <c r="N53" i="1"/>
  <c r="N45" i="1"/>
  <c r="AB19" i="1"/>
  <c r="AB23" i="1"/>
  <c r="C21" i="1"/>
  <c r="U44" i="1"/>
  <c r="AB48" i="1"/>
  <c r="AB47" i="1"/>
  <c r="AC44" i="1"/>
  <c r="AC46" i="1"/>
  <c r="N42" i="1"/>
  <c r="O41" i="1"/>
  <c r="O16" i="1"/>
  <c r="AB15" i="1"/>
  <c r="U21" i="1"/>
  <c r="O38" i="1"/>
  <c r="N43" i="1"/>
  <c r="AC50" i="1"/>
  <c r="U50" i="1"/>
  <c r="N50" i="1"/>
  <c r="U16" i="1"/>
  <c r="V41" i="1"/>
  <c r="C18" i="1"/>
  <c r="AC45" i="1"/>
  <c r="O17" i="1"/>
  <c r="V42" i="1"/>
  <c r="V18" i="1"/>
  <c r="O44" i="1"/>
  <c r="N51" i="1"/>
  <c r="AB49" i="1"/>
  <c r="AC10" i="1"/>
  <c r="AB16" i="1"/>
  <c r="U47" i="1"/>
  <c r="AB45" i="1"/>
  <c r="V44" i="1"/>
  <c r="AC19" i="1"/>
  <c r="N10" i="1"/>
  <c r="V48" i="1"/>
  <c r="V12" i="1"/>
  <c r="V39" i="1"/>
  <c r="U41" i="1"/>
  <c r="O40" i="1"/>
  <c r="O11" i="1"/>
  <c r="N16" i="1"/>
  <c r="AC39" i="1"/>
  <c r="N11" i="1"/>
  <c r="O48" i="1"/>
  <c r="O19" i="1"/>
  <c r="O9" i="1"/>
  <c r="U45" i="1"/>
  <c r="N22" i="1"/>
  <c r="AC49" i="1"/>
  <c r="AC47" i="1"/>
  <c r="U43" i="1"/>
  <c r="N44" i="1"/>
  <c r="AC38" i="1"/>
  <c r="O50" i="1"/>
  <c r="AC42" i="1"/>
  <c r="AB43" i="1"/>
  <c r="N48" i="1"/>
  <c r="C20" i="1"/>
  <c r="V20" i="1"/>
  <c r="V53" i="1"/>
  <c r="V21" i="1"/>
  <c r="U42" i="1"/>
  <c r="V17" i="1"/>
  <c r="C17" i="1"/>
  <c r="AC21" i="1"/>
  <c r="AC14" i="1"/>
  <c r="U53" i="1"/>
  <c r="V40" i="1"/>
  <c r="U9" i="1"/>
  <c r="N18" i="1"/>
  <c r="U40" i="1"/>
  <c r="AB13" i="1"/>
  <c r="AB44" i="1"/>
  <c r="N21" i="1"/>
  <c r="N39" i="1"/>
  <c r="AB18" i="1"/>
  <c r="O45" i="1"/>
  <c r="U18" i="1"/>
  <c r="V38" i="1"/>
  <c r="N23" i="1"/>
  <c r="V10" i="1"/>
  <c r="AC16" i="1"/>
  <c r="C19" i="1"/>
  <c r="N20" i="1"/>
  <c r="AB12" i="1"/>
  <c r="V19" i="1"/>
  <c r="N15" i="1"/>
  <c r="O39" i="1"/>
  <c r="AC41" i="1"/>
  <c r="O20" i="1"/>
  <c r="AC13" i="1"/>
  <c r="AC20" i="1"/>
  <c r="AB51" i="1"/>
  <c r="AB21" i="1"/>
  <c r="AC24" i="1"/>
  <c r="U13" i="1"/>
  <c r="N12" i="1"/>
  <c r="N9" i="1"/>
  <c r="AB41" i="1"/>
  <c r="V23" i="1"/>
  <c r="AC15" i="1"/>
  <c r="N13" i="1"/>
  <c r="V15" i="1"/>
  <c r="AB42" i="1"/>
  <c r="O10" i="1"/>
  <c r="V43" i="1"/>
  <c r="V16" i="1" l="1"/>
  <c r="Y16" i="1" s="1"/>
  <c r="U11" i="1"/>
  <c r="Y11" i="1" s="1"/>
  <c r="AB10" i="1"/>
  <c r="AF10" i="1" s="1"/>
  <c r="P5" i="2"/>
  <c r="P7" i="2"/>
  <c r="S8" i="2" s="1"/>
  <c r="T8" i="2" s="1"/>
  <c r="P6" i="2"/>
  <c r="P9" i="2"/>
  <c r="S7" i="2"/>
  <c r="T7" i="2" s="1"/>
  <c r="S9" i="2"/>
  <c r="T9" i="2" s="1"/>
  <c r="J34" i="2" a="1"/>
  <c r="J39" i="2" s="1"/>
  <c r="E21" i="1"/>
  <c r="E17" i="1"/>
  <c r="E19" i="1"/>
  <c r="E20" i="1"/>
  <c r="E18" i="1"/>
  <c r="AF46" i="1"/>
  <c r="AF42" i="1"/>
  <c r="Y41" i="1"/>
  <c r="AF16" i="1"/>
  <c r="Y52" i="1"/>
  <c r="R47" i="1"/>
  <c r="AF45" i="1"/>
  <c r="AF52" i="1"/>
  <c r="AF53" i="1"/>
  <c r="Y53" i="1"/>
  <c r="R53" i="1"/>
  <c r="AF51" i="1"/>
  <c r="Y50" i="1"/>
  <c r="R49" i="1"/>
  <c r="AF47" i="1"/>
  <c r="Y46" i="1"/>
  <c r="R45" i="1"/>
  <c r="AF43" i="1"/>
  <c r="Y42" i="1"/>
  <c r="R41" i="1"/>
  <c r="AF39" i="1"/>
  <c r="Y24" i="1"/>
  <c r="R23" i="1"/>
  <c r="AF22" i="1"/>
  <c r="Y21" i="1"/>
  <c r="R19" i="1"/>
  <c r="AF18" i="1"/>
  <c r="R15" i="1"/>
  <c r="AF13" i="1"/>
  <c r="AF12" i="1"/>
  <c r="R12" i="1"/>
  <c r="R10" i="1"/>
  <c r="R52" i="1"/>
  <c r="R48" i="1"/>
  <c r="R44" i="1"/>
  <c r="R40" i="1"/>
  <c r="AF38" i="1"/>
  <c r="Y23" i="1"/>
  <c r="Y19" i="1"/>
  <c r="R17" i="1"/>
  <c r="R14" i="1"/>
  <c r="R22" i="1"/>
  <c r="Y20" i="1"/>
  <c r="AF19" i="1"/>
  <c r="R18" i="1"/>
  <c r="Y17" i="1"/>
  <c r="AF15" i="1"/>
  <c r="Y14" i="1"/>
  <c r="R13" i="1"/>
  <c r="Y12" i="1"/>
  <c r="AF11" i="1"/>
  <c r="R11" i="1"/>
  <c r="Y10" i="1"/>
  <c r="AF9" i="1"/>
  <c r="AF50" i="1"/>
  <c r="Y49" i="1"/>
  <c r="Y45" i="1"/>
  <c r="AF24" i="1"/>
  <c r="AF21" i="1"/>
  <c r="R20" i="1"/>
  <c r="Y15" i="1"/>
  <c r="R51" i="1"/>
  <c r="AF49" i="1"/>
  <c r="Y48" i="1"/>
  <c r="Y44" i="1"/>
  <c r="R43" i="1"/>
  <c r="AF41" i="1"/>
  <c r="Y40" i="1"/>
  <c r="R39" i="1"/>
  <c r="AF23" i="1"/>
  <c r="Y51" i="1"/>
  <c r="R50" i="1"/>
  <c r="AF48" i="1"/>
  <c r="Y47" i="1"/>
  <c r="R46" i="1"/>
  <c r="AF44" i="1"/>
  <c r="Y43" i="1"/>
  <c r="R42" i="1"/>
  <c r="AF40" i="1"/>
  <c r="Y39" i="1"/>
  <c r="Y38" i="1"/>
  <c r="R24" i="1"/>
  <c r="Y22" i="1"/>
  <c r="R21" i="1"/>
  <c r="AF20" i="1"/>
  <c r="Y18" i="1"/>
  <c r="AF17" i="1"/>
  <c r="R16" i="1"/>
  <c r="AF14" i="1"/>
  <c r="Y13" i="1"/>
  <c r="R38" i="1"/>
  <c r="Y9" i="1"/>
  <c r="R9" i="1"/>
  <c r="P18" i="3"/>
  <c r="Q18" i="3" s="1"/>
  <c r="P17" i="3"/>
  <c r="Q17" i="3" s="1"/>
  <c r="P16" i="3"/>
  <c r="Q16" i="3" s="1"/>
  <c r="C13" i="7"/>
  <c r="F8" i="7"/>
  <c r="F5" i="7"/>
  <c r="F7" i="7"/>
  <c r="F6" i="7"/>
  <c r="S6" i="2" l="1"/>
  <c r="T6" i="2" s="1"/>
  <c r="S5" i="2"/>
  <c r="T5" i="2" s="1"/>
  <c r="T11" i="2" s="1"/>
  <c r="T14" i="2" s="1"/>
  <c r="K40" i="2"/>
  <c r="J40" i="2"/>
  <c r="K39" i="2"/>
  <c r="J37" i="2"/>
  <c r="K38" i="2"/>
  <c r="J38" i="2"/>
  <c r="K37" i="2"/>
  <c r="J35" i="2"/>
  <c r="P29" i="2" s="1"/>
  <c r="K36" i="2"/>
  <c r="J36" i="2"/>
  <c r="K35" i="2"/>
  <c r="K34" i="2"/>
  <c r="P28" i="2" s="1"/>
  <c r="J34" i="2"/>
  <c r="P31" i="2" s="1"/>
  <c r="E23" i="1"/>
  <c r="E25" i="1" s="1"/>
  <c r="H8" i="7"/>
  <c r="I8" i="7" s="1"/>
  <c r="H7" i="7"/>
  <c r="I7" i="7" s="1"/>
  <c r="H6" i="7"/>
  <c r="I6" i="7" s="1"/>
  <c r="H5" i="7"/>
  <c r="R26" i="1"/>
  <c r="R29" i="1" s="1"/>
  <c r="Y26" i="1"/>
  <c r="Y29" i="1" s="1"/>
  <c r="AF26" i="1"/>
  <c r="AF29" i="1" s="1"/>
  <c r="Y55" i="1"/>
  <c r="Y58" i="1" s="1"/>
  <c r="R55" i="1"/>
  <c r="R58" i="1" s="1"/>
  <c r="AF55" i="1"/>
  <c r="AF58" i="1" s="1"/>
  <c r="P32" i="2" l="1"/>
  <c r="P30" i="2"/>
  <c r="S31" i="2" s="1"/>
  <c r="T31" i="2" s="1"/>
  <c r="I5" i="7"/>
  <c r="H11" i="7"/>
  <c r="H12" i="7" s="1"/>
  <c r="S28" i="2" l="1"/>
  <c r="T28" i="2" s="1"/>
  <c r="S30" i="2"/>
  <c r="T30" i="2" s="1"/>
  <c r="S29" i="2"/>
  <c r="T29" i="2" s="1"/>
  <c r="S32" i="2"/>
  <c r="T32" i="2" s="1"/>
  <c r="C12" i="4"/>
  <c r="C11" i="4"/>
  <c r="E27" i="4"/>
  <c r="E28" i="4" s="1"/>
  <c r="E29" i="4" s="1"/>
  <c r="G21" i="4"/>
  <c r="C18" i="4"/>
  <c r="C19" i="4"/>
  <c r="N10" i="4"/>
  <c r="C17" i="4"/>
  <c r="N11" i="4"/>
  <c r="N17" i="4"/>
  <c r="N16" i="4"/>
  <c r="T34" i="2" l="1"/>
  <c r="T37" i="2" s="1"/>
  <c r="J21" i="4"/>
  <c r="K21" i="4" s="1"/>
  <c r="P10" i="4"/>
  <c r="E18" i="4"/>
  <c r="E17" i="4"/>
  <c r="P11" i="4"/>
  <c r="E19" i="4"/>
  <c r="P17" i="4"/>
  <c r="P16" i="4"/>
  <c r="P19" i="4" l="1"/>
  <c r="P20" i="4" s="1"/>
  <c r="C21" i="4" a="1"/>
  <c r="C21" i="4" s="1"/>
  <c r="P13" i="4"/>
  <c r="P14" i="4" s="1"/>
  <c r="C14" i="3"/>
  <c r="C20" i="3"/>
  <c r="C19" i="3"/>
  <c r="M6" i="3"/>
  <c r="C21" i="3"/>
  <c r="M7" i="3"/>
  <c r="C22" i="4" l="1"/>
  <c r="L10" i="6" s="1"/>
  <c r="E19" i="3"/>
  <c r="E20" i="3"/>
  <c r="E21" i="3"/>
  <c r="O6" i="3"/>
  <c r="M9" i="3" s="1"/>
  <c r="M10" i="3" s="1"/>
  <c r="O7" i="3"/>
  <c r="O11" i="6"/>
  <c r="O13" i="6"/>
  <c r="O12" i="6"/>
  <c r="L13" i="6"/>
  <c r="P5" i="7"/>
  <c r="N10" i="7" s="1"/>
  <c r="N12" i="7"/>
  <c r="N11" i="7"/>
  <c r="P11" i="7" l="1"/>
  <c r="Q11" i="7" s="1"/>
  <c r="P10" i="7"/>
  <c r="P12" i="7"/>
  <c r="Q12" i="7" s="1"/>
  <c r="F13" i="6" s="1"/>
  <c r="F10" i="6"/>
  <c r="F12" i="6"/>
  <c r="L14" i="6"/>
  <c r="Q10" i="7" l="1"/>
  <c r="F11" i="6" s="1"/>
  <c r="F19" i="6" s="1" a="1"/>
  <c r="F19" i="6" s="1"/>
  <c r="C15" i="6"/>
  <c r="C14" i="6"/>
  <c r="C10" i="6"/>
  <c r="C16" i="6"/>
  <c r="C13" i="6"/>
  <c r="E30" i="4"/>
  <c r="E31" i="4" l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I11" i="6"/>
  <c r="I10" i="6"/>
  <c r="L12" i="6"/>
  <c r="I14" i="6" l="1" a="1"/>
  <c r="I14" i="6" s="1"/>
  <c r="C13" i="3"/>
  <c r="H17" i="4"/>
  <c r="C23" i="3"/>
  <c r="C22" i="3"/>
  <c r="J17" i="4" l="1"/>
  <c r="K17" i="4" s="1"/>
  <c r="E23" i="3"/>
  <c r="E22" i="3"/>
  <c r="C26" i="3" s="1"/>
  <c r="C27" i="3" s="1"/>
  <c r="O10" i="6" l="1"/>
  <c r="O17" i="6" s="1" a="1"/>
  <c r="O17" i="6" s="1"/>
  <c r="C11" i="6" l="1"/>
  <c r="C12" i="6"/>
  <c r="C19" i="6" l="1" a="1"/>
  <c r="C19" i="6" s="1"/>
  <c r="L11" i="6"/>
  <c r="L17" i="6" s="1" a="1"/>
  <c r="L17" i="6" s="1"/>
  <c r="C8" i="6" l="1"/>
  <c r="D8" i="6" l="1"/>
  <c r="C4" i="6"/>
  <c r="C6" i="6" l="1"/>
  <c r="D6" i="6" s="1"/>
  <c r="D5" i="6"/>
</calcChain>
</file>

<file path=xl/sharedStrings.xml><?xml version="1.0" encoding="utf-8"?>
<sst xmlns="http://schemas.openxmlformats.org/spreadsheetml/2006/main" count="400" uniqueCount="123">
  <si>
    <t>UnderlyingPrice</t>
  </si>
  <si>
    <t>RiskFreeRate</t>
  </si>
  <si>
    <t>Kappa</t>
  </si>
  <si>
    <t>Theta</t>
  </si>
  <si>
    <t>Sigma</t>
  </si>
  <si>
    <t>Rho</t>
  </si>
  <si>
    <t>v0</t>
  </si>
  <si>
    <t>Strike</t>
  </si>
  <si>
    <t>Maturity</t>
  </si>
  <si>
    <t>Type</t>
  </si>
  <si>
    <t>Call</t>
  </si>
  <si>
    <t>Heston Model Parameters</t>
  </si>
  <si>
    <t>kappa</t>
  </si>
  <si>
    <t>Guess Model Parameters</t>
  </si>
  <si>
    <t>Market data</t>
  </si>
  <si>
    <t>Option market data</t>
  </si>
  <si>
    <t>Observed Price</t>
  </si>
  <si>
    <t>Repriced</t>
  </si>
  <si>
    <t>Err</t>
  </si>
  <si>
    <t>NumPaths</t>
  </si>
  <si>
    <t>NumSteps</t>
  </si>
  <si>
    <t>Lookback price</t>
  </si>
  <si>
    <t>Heston Model Parameters 2</t>
  </si>
  <si>
    <t>Feller OK</t>
  </si>
  <si>
    <t>Table 5: Prices of lookback options</t>
  </si>
  <si>
    <t xml:space="preserve">T </t>
  </si>
  <si>
    <t>Price</t>
  </si>
  <si>
    <t>Steps per year</t>
  </si>
  <si>
    <t>MyPrice</t>
  </si>
  <si>
    <t>Error</t>
  </si>
  <si>
    <t>My Lookback price</t>
  </si>
  <si>
    <t>Table 4: Prices of ATM asian</t>
  </si>
  <si>
    <t>Price Call</t>
  </si>
  <si>
    <t>My Call</t>
  </si>
  <si>
    <t>My Put</t>
  </si>
  <si>
    <t>Error Call</t>
  </si>
  <si>
    <t>Mon. dates 1</t>
  </si>
  <si>
    <t>Mon. dates 2</t>
  </si>
  <si>
    <t>Mon dates 3</t>
  </si>
  <si>
    <t>Mon dates 4</t>
  </si>
  <si>
    <t>Mon dates 5</t>
  </si>
  <si>
    <t>Monitor Times</t>
  </si>
  <si>
    <t>Put</t>
  </si>
  <si>
    <t>Kappa dependence</t>
  </si>
  <si>
    <t>Total Error</t>
  </si>
  <si>
    <t>Threshold</t>
  </si>
  <si>
    <t>Passed</t>
  </si>
  <si>
    <t>Heston Model Parameters 2 Alt</t>
  </si>
  <si>
    <t>Heston Model Parameters 1</t>
  </si>
  <si>
    <t>Little Heson Trap Paper</t>
  </si>
  <si>
    <t>Call Price</t>
  </si>
  <si>
    <t>Little Heston Trap Paper</t>
  </si>
  <si>
    <t>Heston Formula</t>
  </si>
  <si>
    <t>Heston Trap Paper</t>
  </si>
  <si>
    <t>theta</t>
  </si>
  <si>
    <t>Theta dependence</t>
  </si>
  <si>
    <t>Sigma dependence</t>
  </si>
  <si>
    <t>Rho dependence</t>
  </si>
  <si>
    <t>Maturity dependence</t>
  </si>
  <si>
    <t>Strike dependence</t>
  </si>
  <si>
    <t>Strike Dep</t>
  </si>
  <si>
    <t>Maturity Dep</t>
  </si>
  <si>
    <t>Rho Dep</t>
  </si>
  <si>
    <t>Sigma Dep</t>
  </si>
  <si>
    <t>Theta Dep</t>
  </si>
  <si>
    <t>Kappa Dep</t>
  </si>
  <si>
    <t>Num Samples</t>
  </si>
  <si>
    <t>Num Steps / Year</t>
  </si>
  <si>
    <t>Steps</t>
  </si>
  <si>
    <t>Val</t>
  </si>
  <si>
    <t>Par</t>
  </si>
  <si>
    <t>Tol</t>
  </si>
  <si>
    <t>MyVal</t>
  </si>
  <si>
    <t>Average Error</t>
  </si>
  <si>
    <t>Heston MC</t>
  </si>
  <si>
    <t>Table 2</t>
  </si>
  <si>
    <t xml:space="preserve">Marks out of </t>
  </si>
  <si>
    <t>Marks obtained</t>
  </si>
  <si>
    <t>Lookback</t>
  </si>
  <si>
    <t>Asian</t>
  </si>
  <si>
    <t>Tolerance</t>
  </si>
  <si>
    <t>Table 5</t>
  </si>
  <si>
    <t>Underlying</t>
  </si>
  <si>
    <t>Underlying Dep</t>
  </si>
  <si>
    <t>Average Err</t>
  </si>
  <si>
    <t>Daily Mon</t>
  </si>
  <si>
    <t>Mat</t>
  </si>
  <si>
    <t>Day 0 Monitor</t>
  </si>
  <si>
    <t>My Price</t>
  </si>
  <si>
    <t>Table 4</t>
  </si>
  <si>
    <t>Daily monitoring</t>
  </si>
  <si>
    <t>Time 0 monitoring</t>
  </si>
  <si>
    <t>Strike / call</t>
  </si>
  <si>
    <t>Strike / put</t>
  </si>
  <si>
    <t>MaxIter</t>
  </si>
  <si>
    <t>Accuracy</t>
  </si>
  <si>
    <t>Calibration</t>
  </si>
  <si>
    <t>Table 3 Finish</t>
  </si>
  <si>
    <t>Student</t>
  </si>
  <si>
    <t>sigma</t>
  </si>
  <si>
    <t>rho</t>
  </si>
  <si>
    <t>Re-price</t>
  </si>
  <si>
    <t>Average</t>
  </si>
  <si>
    <t>Student ID</t>
  </si>
  <si>
    <t>Code (max 10)</t>
  </si>
  <si>
    <t>Report (max 20)</t>
  </si>
  <si>
    <t>Exploration (max 20)</t>
  </si>
  <si>
    <t>Tests (max 30)</t>
  </si>
  <si>
    <t>Final (max 80)</t>
  </si>
  <si>
    <t>Late days</t>
  </si>
  <si>
    <t>Pre-Final (max 80)</t>
  </si>
  <si>
    <t>Penalty</t>
  </si>
  <si>
    <t>call</t>
  </si>
  <si>
    <t>put</t>
  </si>
  <si>
    <t>AddInLoaded?</t>
  </si>
  <si>
    <t>- OK treatment of Rainbow options and variance reduction - would be good to see more test results presented in some intuitive way (screenshots not very useful).</t>
  </si>
  <si>
    <t>- The report covers all the tasks, but doesn't go very deep into the analysis of results.</t>
  </si>
  <si>
    <t>- Monte-Carlo error analysis should be done in a smilar way to what we did at the tutorial (plot of the average error as a function of number of timesteps and trials).</t>
  </si>
  <si>
    <t>- Superficial treatment of calibration check.</t>
  </si>
  <si>
    <t>- Code is fairly easy to follow, but one of the tasks wasn't implemented in Heston.cs.</t>
  </si>
  <si>
    <t>- Most of the time it's best to have one class per file.</t>
  </si>
  <si>
    <t>s1804548</t>
  </si>
  <si>
    <t>Zihao Song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</si>
</sst>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E+00"/>
    <numFmt numFmtId="166" formatCode="0.0"/>
    <numFmt numFmtId="167" formatCode="0.E+00"/>
    <numFmt numFmtId="168" formatCode="0.0000"/>
    <numFmt numFmtId="169" formatCode="0.0000000000"/>
    <numFmt numFmtId="170" formatCode="0.0%"/>
    <numFmt numFmtId="171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165" fontId="0" fillId="2" borderId="0" xfId="0" applyNumberFormat="1" applyFill="1"/>
    <xf numFmtId="166" fontId="0" fillId="2" borderId="0" xfId="0" applyNumberFormat="1" applyFill="1"/>
    <xf numFmtId="1" fontId="0" fillId="2" borderId="0" xfId="0" applyNumberFormat="1" applyFill="1"/>
    <xf numFmtId="10" fontId="0" fillId="2" borderId="3" xfId="1" applyNumberFormat="1" applyFont="1" applyFill="1" applyBorder="1"/>
    <xf numFmtId="10" fontId="0" fillId="2" borderId="4" xfId="1" applyNumberFormat="1" applyFont="1" applyFill="1" applyBorder="1"/>
    <xf numFmtId="2" fontId="0" fillId="2" borderId="0" xfId="0" applyNumberFormat="1" applyFill="1"/>
    <xf numFmtId="10" fontId="0" fillId="2" borderId="0" xfId="1" applyNumberFormat="1" applyFont="1" applyFill="1"/>
    <xf numFmtId="10" fontId="0" fillId="2" borderId="0" xfId="0" applyNumberFormat="1" applyFill="1"/>
    <xf numFmtId="9" fontId="0" fillId="2" borderId="3" xfId="1" applyFont="1" applyFill="1" applyBorder="1"/>
    <xf numFmtId="164" fontId="0" fillId="2" borderId="0" xfId="2" applyFont="1" applyFill="1"/>
    <xf numFmtId="164" fontId="0" fillId="2" borderId="0" xfId="0" applyNumberFormat="1" applyFill="1"/>
    <xf numFmtId="167" fontId="0" fillId="2" borderId="0" xfId="0" applyNumberFormat="1" applyFill="1"/>
    <xf numFmtId="168" fontId="0" fillId="2" borderId="0" xfId="0" applyNumberFormat="1" applyFill="1"/>
    <xf numFmtId="0" fontId="0" fillId="2" borderId="11" xfId="0" applyFill="1" applyBorder="1"/>
    <xf numFmtId="0" fontId="0" fillId="2" borderId="10" xfId="0" applyFill="1" applyBorder="1"/>
    <xf numFmtId="0" fontId="0" fillId="2" borderId="12" xfId="0" applyFill="1" applyBorder="1"/>
    <xf numFmtId="1" fontId="0" fillId="2" borderId="3" xfId="0" applyNumberFormat="1" applyFill="1" applyBorder="1"/>
    <xf numFmtId="169" fontId="0" fillId="2" borderId="0" xfId="0" applyNumberFormat="1" applyFill="1"/>
    <xf numFmtId="0" fontId="0" fillId="2" borderId="13" xfId="0" applyFill="1" applyBorder="1"/>
    <xf numFmtId="170" fontId="0" fillId="2" borderId="0" xfId="1" applyNumberFormat="1" applyFont="1" applyFill="1"/>
    <xf numFmtId="9" fontId="0" fillId="2" borderId="10" xfId="1" applyNumberFormat="1" applyFont="1" applyFill="1" applyBorder="1"/>
    <xf numFmtId="171" fontId="0" fillId="2" borderId="0" xfId="1" applyNumberFormat="1" applyFont="1" applyFill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" fontId="0" fillId="2" borderId="11" xfId="0" applyNumberFormat="1" applyFill="1" applyBorder="1"/>
    <xf numFmtId="1" fontId="0" fillId="2" borderId="10" xfId="0" applyNumberFormat="1" applyFill="1" applyBorder="1"/>
    <xf numFmtId="0" fontId="0" fillId="2" borderId="16" xfId="0" quotePrefix="1" applyFill="1" applyBorder="1"/>
    <xf numFmtId="0" fontId="0" fillId="2" borderId="18" xfId="0" quotePrefix="1" applyFill="1" applyBorder="1"/>
    <xf numFmtId="9" fontId="0" fillId="2" borderId="0" xfId="1" applyFon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4:AF58"/>
  <sheetViews>
    <sheetView workbookViewId="0">
      <selection activeCell="K36" sqref="K36"/>
    </sheetView>
  </sheetViews>
  <sheetFormatPr defaultColWidth="9.1796875" defaultRowHeight="14.5" x14ac:dyDescent="0.35"/>
  <cols>
    <col min="1" max="1" width="9.1796875" style="1"/>
    <col min="2" max="2" width="17.1796875" style="1" customWidth="1"/>
    <col min="3" max="3" width="9.81640625" style="1" customWidth="1"/>
    <col min="4" max="4" width="9.1796875" style="1"/>
    <col min="5" max="5" width="10.54296875" style="1" bestFit="1" customWidth="1"/>
    <col min="6" max="7" width="9.1796875" style="1"/>
    <col min="8" max="8" width="15.36328125" style="1" customWidth="1"/>
    <col min="9" max="31" width="9.1796875" style="1"/>
    <col min="32" max="32" width="8.26953125" style="1" customWidth="1"/>
    <col min="33" max="16384" width="9.1796875" style="1"/>
  </cols>
  <sheetData>
    <row r="4" spans="2:32" x14ac:dyDescent="0.35">
      <c r="B4" s="2" t="s">
        <v>48</v>
      </c>
      <c r="C4" s="3"/>
      <c r="J4" s="2" t="s">
        <v>11</v>
      </c>
      <c r="K4" s="3"/>
      <c r="M4" s="1" t="s">
        <v>43</v>
      </c>
      <c r="T4" s="1" t="s">
        <v>55</v>
      </c>
      <c r="AA4" s="1" t="s">
        <v>58</v>
      </c>
    </row>
    <row r="5" spans="2:32" x14ac:dyDescent="0.35">
      <c r="B5" s="6" t="s">
        <v>0</v>
      </c>
      <c r="C5" s="3">
        <v>100</v>
      </c>
      <c r="J5" s="6" t="s">
        <v>0</v>
      </c>
      <c r="K5" s="3">
        <v>100</v>
      </c>
      <c r="M5" s="1" t="s">
        <v>8</v>
      </c>
      <c r="N5" s="1">
        <v>5</v>
      </c>
      <c r="T5" s="1" t="s">
        <v>8</v>
      </c>
      <c r="U5" s="1">
        <v>5</v>
      </c>
    </row>
    <row r="6" spans="2:32" x14ac:dyDescent="0.35">
      <c r="B6" s="7" t="s">
        <v>1</v>
      </c>
      <c r="C6" s="15">
        <v>2.5000000000000001E-2</v>
      </c>
      <c r="J6" s="7" t="s">
        <v>1</v>
      </c>
      <c r="K6" s="4">
        <v>2.5000000000000001E-2</v>
      </c>
      <c r="M6" s="1" t="s">
        <v>7</v>
      </c>
      <c r="N6" s="1">
        <v>100</v>
      </c>
      <c r="T6" s="1" t="s">
        <v>7</v>
      </c>
      <c r="U6" s="1">
        <v>100</v>
      </c>
      <c r="AA6" s="1" t="s">
        <v>7</v>
      </c>
      <c r="AB6" s="1">
        <v>100</v>
      </c>
    </row>
    <row r="7" spans="2:32" x14ac:dyDescent="0.35">
      <c r="B7" s="7" t="s">
        <v>2</v>
      </c>
      <c r="C7" s="4">
        <v>1.5768</v>
      </c>
      <c r="J7" s="7" t="s">
        <v>2</v>
      </c>
      <c r="K7" s="4">
        <v>2</v>
      </c>
    </row>
    <row r="8" spans="2:32" x14ac:dyDescent="0.35">
      <c r="B8" s="7" t="s">
        <v>3</v>
      </c>
      <c r="C8" s="15">
        <v>3.9800000000000002E-2</v>
      </c>
      <c r="J8" s="7" t="s">
        <v>3</v>
      </c>
      <c r="K8" s="4">
        <v>0.5</v>
      </c>
      <c r="M8" s="1" t="s">
        <v>12</v>
      </c>
      <c r="N8" s="1" t="s">
        <v>112</v>
      </c>
      <c r="O8" s="1" t="s">
        <v>113</v>
      </c>
      <c r="P8" s="1" t="s">
        <v>33</v>
      </c>
      <c r="Q8" s="1" t="s">
        <v>34</v>
      </c>
      <c r="R8" s="1" t="s">
        <v>29</v>
      </c>
      <c r="T8" s="1" t="s">
        <v>54</v>
      </c>
      <c r="U8" s="1" t="s">
        <v>112</v>
      </c>
      <c r="V8" s="1" t="s">
        <v>113</v>
      </c>
      <c r="W8" s="1" t="s">
        <v>33</v>
      </c>
      <c r="X8" s="1" t="s">
        <v>34</v>
      </c>
      <c r="Y8" s="1" t="s">
        <v>29</v>
      </c>
      <c r="AA8" s="1" t="s">
        <v>8</v>
      </c>
      <c r="AB8" s="1" t="s">
        <v>112</v>
      </c>
      <c r="AC8" s="1" t="s">
        <v>113</v>
      </c>
      <c r="AD8" s="1" t="s">
        <v>33</v>
      </c>
      <c r="AE8" s="1" t="s">
        <v>34</v>
      </c>
      <c r="AF8" s="1" t="s">
        <v>29</v>
      </c>
    </row>
    <row r="9" spans="2:32" x14ac:dyDescent="0.35">
      <c r="B9" s="7" t="s">
        <v>4</v>
      </c>
      <c r="C9" s="15">
        <v>0.57509999999999994</v>
      </c>
      <c r="J9" s="7" t="s">
        <v>4</v>
      </c>
      <c r="K9" s="20">
        <v>0.4</v>
      </c>
      <c r="M9" s="1">
        <v>0.1</v>
      </c>
      <c r="N9" s="1">
        <f ca="1">_xll.HestonOneOptionPrice($K$5,$K$6,$M9,$K$8,$K$9,$K$10,$K$11,$N$5,$N$6,N$8)</f>
        <v>36.369390000000003</v>
      </c>
      <c r="O9" s="1">
        <f ca="1">_xll.HestonOneOptionPrice($K$5,$K$6,$M9,$K$8,$K$9,$K$10,$K$11,$N$5,$N$6,O$8)</f>
        <v>24.61908</v>
      </c>
      <c r="P9" s="1">
        <v>36.174473111704209</v>
      </c>
      <c r="Q9" s="1">
        <v>24.424163370163761</v>
      </c>
      <c r="R9" s="1">
        <f ca="1">ABS(N9-P9)/P9+ABS(O9-Q9)/Q9</f>
        <v>1.3368727396145093E-2</v>
      </c>
      <c r="T9" s="18">
        <v>5.0000000000000001E-3</v>
      </c>
      <c r="U9" s="1">
        <f ca="1">_xll.HestonOneOptionPrice($K$5,$K$6,$K$7,$T9,$K$9,$K$10,$K$11,$N$5,$N$6,U$8)</f>
        <v>16.953600000000002</v>
      </c>
      <c r="V9" s="1">
        <f ca="1">_xll.HestonOneOptionPrice($K$5,$K$6,$K$7,$T9,$K$9,$K$10,$K$11,$N$5,$N$6,V$8)</f>
        <v>5.20329</v>
      </c>
      <c r="W9" s="1">
        <v>16.953853660135181</v>
      </c>
      <c r="X9" s="1">
        <v>5.2035439185947325</v>
      </c>
      <c r="Y9" s="1">
        <f ca="1">ABS(U9-W9)/W9+ABS(V9-X9)/X9</f>
        <v>6.3759040635594713E-5</v>
      </c>
      <c r="AA9" s="21">
        <v>0.5</v>
      </c>
      <c r="AB9" s="1">
        <f ca="1">_xll.HestonOneOptionPrice($K$5,$K$6,$K$7,$K$8,$K$9,$K$10,$K$11,$AA9,$N$6,AB$8)</f>
        <v>14.3337</v>
      </c>
      <c r="AC9" s="1">
        <f ca="1">_xll.HestonOneOptionPrice($K$5,$K$6,$K$7,$K$8,$K$9,$K$10,$K$11,$AA9,$N$6,AC$8)</f>
        <v>13.091480000000001</v>
      </c>
      <c r="AD9" s="1">
        <v>14.334086280423001</v>
      </c>
      <c r="AE9" s="1">
        <v>13.091866329811154</v>
      </c>
      <c r="AF9" s="1">
        <f ca="1">ABS(AB9-AD9)/AD9+ABS(AC9-AE9)/AE9</f>
        <v>5.645752856146828E-5</v>
      </c>
    </row>
    <row r="10" spans="2:32" x14ac:dyDescent="0.35">
      <c r="B10" s="7" t="s">
        <v>5</v>
      </c>
      <c r="C10" s="15">
        <v>-0.57110000000000005</v>
      </c>
      <c r="J10" s="7" t="s">
        <v>5</v>
      </c>
      <c r="K10" s="4">
        <v>-0.5</v>
      </c>
      <c r="M10" s="1">
        <f ca="1">0.1+M9</f>
        <v>0.2</v>
      </c>
      <c r="N10" s="1">
        <f ca="1">_xll.HestonOneOptionPrice($K$5,$K$6,$M10,$K$8,$K$9,$K$10,$K$11,$N$5,$N$6,N$8)</f>
        <v>42.064250000000001</v>
      </c>
      <c r="O10" s="1">
        <f ca="1">_xll.HestonOneOptionPrice($K$5,$K$6,$M10,$K$8,$K$9,$K$10,$K$11,$N$5,$N$6,O$8)</f>
        <v>30.313939999999999</v>
      </c>
      <c r="P10" s="1">
        <v>41.847029649292516</v>
      </c>
      <c r="Q10" s="1">
        <v>30.096719907752068</v>
      </c>
      <c r="R10" s="1">
        <f t="shared" ref="R10:R24" ca="1" si="0">ABS(N10-P10)/P10+ABS(O10-Q10)/Q10</f>
        <v>1.2408219722665315E-2</v>
      </c>
      <c r="T10" s="19">
        <f t="shared" ref="T10:T24" ca="1" si="1">0.005+T9</f>
        <v>0.01</v>
      </c>
      <c r="U10" s="1">
        <f ca="1">_xll.HestonOneOptionPrice($K$5,$K$6,$K$7,$T10,$K$9,$K$10,$K$11,$N$5,$N$6,U$8)</f>
        <v>18.207409999999999</v>
      </c>
      <c r="V10" s="1">
        <f ca="1">_xll.HestonOneOptionPrice($K$5,$K$6,$K$7,$T10,$K$9,$K$10,$K$11,$N$5,$N$6,V$8)</f>
        <v>6.4570999999999996</v>
      </c>
      <c r="W10" s="1">
        <v>18.207728031183251</v>
      </c>
      <c r="X10" s="1">
        <v>6.4574182896428027</v>
      </c>
      <c r="Y10" s="1">
        <f t="shared" ref="Y10:Y24" ca="1" si="2">ABS(U10-W10)/W10+ABS(V10-X10)/X10</f>
        <v>6.6757365411286337E-5</v>
      </c>
      <c r="AA10" s="22">
        <f t="shared" ref="AA10:AA24" ca="1" si="3">0.5+AA9</f>
        <v>1</v>
      </c>
      <c r="AB10" s="1">
        <f ca="1">_xll.HestonOneOptionPrice($K$5,$K$6,$K$7,$K$8,$K$9,$K$10,$K$11,$AA10,$N$6,AB$8)</f>
        <v>23.14321</v>
      </c>
      <c r="AC10" s="1">
        <f ca="1">_xll.HestonOneOptionPrice($K$5,$K$6,$K$7,$K$8,$K$9,$K$10,$K$11,$AA10,$N$6,AC$8)</f>
        <v>20.674209999999999</v>
      </c>
      <c r="AD10" s="1">
        <v>23.14419126186673</v>
      </c>
      <c r="AE10" s="1">
        <v>20.675182464699986</v>
      </c>
      <c r="AF10" s="1">
        <f t="shared" ref="AF10:AF24" ca="1" si="4">ABS(AB10-AD10)/AD10+ABS(AC10-AE10)/AE10</f>
        <v>8.9433122412923435E-5</v>
      </c>
    </row>
    <row r="11" spans="2:32" x14ac:dyDescent="0.35">
      <c r="B11" s="8" t="s">
        <v>6</v>
      </c>
      <c r="C11" s="16">
        <v>1.7500000000000002E-2</v>
      </c>
      <c r="J11" s="8" t="s">
        <v>6</v>
      </c>
      <c r="K11" s="5">
        <v>0.1</v>
      </c>
      <c r="M11" s="1">
        <f t="shared" ref="M11:M24" ca="1" si="5">0.1+M10</f>
        <v>0.30000000000000004</v>
      </c>
      <c r="N11" s="1">
        <f ca="1">_xll.HestonOneOptionPrice($K$5,$K$6,$M11,$K$8,$K$9,$K$10,$K$11,$N$5,$N$6,N$8)</f>
        <v>45.702170000000002</v>
      </c>
      <c r="O11" s="1">
        <f ca="1">_xll.HestonOneOptionPrice($K$5,$K$6,$M11,$K$8,$K$9,$K$10,$K$11,$N$5,$N$6,O$8)</f>
        <v>33.951860000000003</v>
      </c>
      <c r="P11" s="1">
        <v>45.473191837464199</v>
      </c>
      <c r="Q11" s="1">
        <v>33.722882095923751</v>
      </c>
      <c r="R11" s="1">
        <f t="shared" ca="1" si="0"/>
        <v>1.1825440130354432E-2</v>
      </c>
      <c r="T11" s="19">
        <f t="shared" ca="1" si="1"/>
        <v>1.4999999999999999E-2</v>
      </c>
      <c r="U11" s="1">
        <f ca="1">_xll.HestonOneOptionPrice($K$5,$K$6,$K$7,$T11,$K$9,$K$10,$K$11,$N$5,$N$6,U$8)</f>
        <v>19.34722</v>
      </c>
      <c r="V11" s="1">
        <f ca="1">_xll.HestonOneOptionPrice($K$5,$K$6,$K$7,$T11,$K$9,$K$10,$K$11,$N$5,$N$6,V$8)</f>
        <v>7.5969100000000003</v>
      </c>
      <c r="W11" s="1">
        <v>19.347600260034959</v>
      </c>
      <c r="X11" s="1">
        <v>7.5972905184945176</v>
      </c>
      <c r="Y11" s="1">
        <f t="shared" ca="1" si="2"/>
        <v>6.9740198036446406E-5</v>
      </c>
      <c r="AA11" s="22">
        <f t="shared" ca="1" si="3"/>
        <v>1.5</v>
      </c>
      <c r="AB11" s="1">
        <f ca="1">_xll.HestonOneOptionPrice($K$5,$K$6,$K$7,$K$8,$K$9,$K$10,$K$11,$AA11,$N$6,AB$8)</f>
        <v>30.010390000000001</v>
      </c>
      <c r="AC11" s="1">
        <f ca="1">_xll.HestonOneOptionPrice($K$5,$K$6,$K$7,$K$8,$K$9,$K$10,$K$11,$AA11,$N$6,AC$8)</f>
        <v>26.329830000000001</v>
      </c>
      <c r="AD11" s="1">
        <v>30.012007987689806</v>
      </c>
      <c r="AE11" s="1">
        <v>26.331449759771985</v>
      </c>
      <c r="AF11" s="1">
        <f t="shared" ca="1" si="4"/>
        <v>1.1542560885959436E-4</v>
      </c>
    </row>
    <row r="12" spans="2:32" x14ac:dyDescent="0.35">
      <c r="M12" s="1">
        <f t="shared" ca="1" si="5"/>
        <v>0.4</v>
      </c>
      <c r="N12" s="1">
        <f ca="1">_xll.HestonOneOptionPrice($K$5,$K$6,$M12,$K$8,$K$9,$K$10,$K$11,$N$5,$N$6,N$8)</f>
        <v>48.215899999999998</v>
      </c>
      <c r="O12" s="1">
        <f ca="1">_xll.HestonOneOptionPrice($K$5,$K$6,$M12,$K$8,$K$9,$K$10,$K$11,$N$5,$N$6,O$8)</f>
        <v>36.465589999999999</v>
      </c>
      <c r="P12" s="1">
        <v>47.984297700855407</v>
      </c>
      <c r="Q12" s="1">
        <v>36.233987959314959</v>
      </c>
      <c r="R12" s="1">
        <f t="shared" ca="1" si="0"/>
        <v>1.1218472002536952E-2</v>
      </c>
      <c r="T12" s="19">
        <f t="shared" ca="1" si="1"/>
        <v>0.02</v>
      </c>
      <c r="U12" s="1">
        <f ca="1">_xll.HestonOneOptionPrice($K$5,$K$6,$K$7,$T12,$K$9,$K$10,$K$11,$N$5,$N$6,U$8)</f>
        <v>20.39742</v>
      </c>
      <c r="V12" s="1">
        <f ca="1">_xll.HestonOneOptionPrice($K$5,$K$6,$K$7,$T12,$K$9,$K$10,$K$11,$N$5,$N$6,V$8)</f>
        <v>8.6471099999999996</v>
      </c>
      <c r="W12" s="1">
        <v>20.397860134073888</v>
      </c>
      <c r="X12" s="1">
        <v>8.6475503925334323</v>
      </c>
      <c r="Y12" s="1">
        <f t="shared" ca="1" si="2"/>
        <v>7.2504316745360662E-5</v>
      </c>
      <c r="AA12" s="22">
        <f t="shared" ca="1" si="3"/>
        <v>2</v>
      </c>
      <c r="AB12" s="1">
        <f ca="1">_xll.HestonOneOptionPrice($K$5,$K$6,$K$7,$K$8,$K$9,$K$10,$K$11,$AA12,$N$6,AB$8)</f>
        <v>35.623649999999998</v>
      </c>
      <c r="AC12" s="1">
        <f ca="1">_xll.HestonOneOptionPrice($K$5,$K$6,$K$7,$K$8,$K$9,$K$10,$K$11,$AA12,$N$6,AC$8)</f>
        <v>30.746590000000001</v>
      </c>
      <c r="AD12" s="1">
        <v>35.625861832831646</v>
      </c>
      <c r="AE12" s="1">
        <v>30.748804282903052</v>
      </c>
      <c r="AF12" s="1">
        <f t="shared" ca="1" si="4"/>
        <v>1.3409703397024566E-4</v>
      </c>
    </row>
    <row r="13" spans="2:32" x14ac:dyDescent="0.35">
      <c r="B13" s="1" t="s">
        <v>49</v>
      </c>
      <c r="M13" s="1">
        <f t="shared" ca="1" si="5"/>
        <v>0.5</v>
      </c>
      <c r="N13" s="1">
        <f ca="1">_xll.HestonOneOptionPrice($K$5,$K$6,$M13,$K$8,$K$9,$K$10,$K$11,$N$5,$N$6,N$8)</f>
        <v>50.03895</v>
      </c>
      <c r="O13" s="1">
        <f ca="1">_xll.HestonOneOptionPrice($K$5,$K$6,$M13,$K$8,$K$9,$K$10,$K$11,$N$5,$N$6,O$8)</f>
        <v>38.288640000000001</v>
      </c>
      <c r="P13" s="1">
        <v>49.811309269842909</v>
      </c>
      <c r="Q13" s="1">
        <v>38.06099952830246</v>
      </c>
      <c r="R13" s="1">
        <f t="shared" ca="1" si="0"/>
        <v>1.055099899069609E-2</v>
      </c>
      <c r="T13" s="19">
        <f t="shared" ca="1" si="1"/>
        <v>2.5000000000000001E-2</v>
      </c>
      <c r="U13" s="1">
        <f ca="1">_xll.HestonOneOptionPrice($K$5,$K$6,$K$7,$T13,$K$9,$K$10,$K$11,$N$5,$N$6,U$8)</f>
        <v>21.37509</v>
      </c>
      <c r="V13" s="1">
        <f ca="1">_xll.HestonOneOptionPrice($K$5,$K$6,$K$7,$T13,$K$9,$K$10,$K$11,$N$5,$N$6,V$8)</f>
        <v>9.6247799999999994</v>
      </c>
      <c r="W13" s="1">
        <v>21.37559484979743</v>
      </c>
      <c r="X13" s="1">
        <v>9.625285108256989</v>
      </c>
      <c r="Y13" s="1">
        <f t="shared" ca="1" si="2"/>
        <v>7.609527218691436E-5</v>
      </c>
      <c r="AA13" s="22">
        <f t="shared" ca="1" si="3"/>
        <v>2.5</v>
      </c>
      <c r="AB13" s="1">
        <f ca="1">_xll.HestonOneOptionPrice($K$5,$K$6,$K$7,$K$8,$K$9,$K$10,$K$11,$AA13,$N$6,AB$8)</f>
        <v>40.37229</v>
      </c>
      <c r="AC13" s="1">
        <f ca="1">_xll.HestonOneOptionPrice($K$5,$K$6,$K$7,$K$8,$K$9,$K$10,$K$11,$AA13,$N$6,AC$8)</f>
        <v>34.313600000000001</v>
      </c>
      <c r="AD13" s="1">
        <v>40.374737654589005</v>
      </c>
      <c r="AE13" s="1">
        <v>34.316043935936584</v>
      </c>
      <c r="AF13" s="1">
        <f t="shared" ca="1" si="4"/>
        <v>1.3184188170015996E-4</v>
      </c>
    </row>
    <row r="14" spans="2:32" x14ac:dyDescent="0.35">
      <c r="B14" s="1" t="s">
        <v>7</v>
      </c>
      <c r="C14" s="1">
        <v>100</v>
      </c>
      <c r="M14" s="1">
        <f t="shared" ca="1" si="5"/>
        <v>0.6</v>
      </c>
      <c r="N14" s="1">
        <f ca="1">_xll.HestonOneOptionPrice($K$5,$K$6,$M14,$K$8,$K$9,$K$10,$K$11,$N$5,$N$6,N$8)</f>
        <v>51.408239999999999</v>
      </c>
      <c r="O14" s="1">
        <f ca="1">_xll.HestonOneOptionPrice($K$5,$K$6,$M14,$K$8,$K$9,$K$10,$K$11,$N$5,$N$6,O$8)</f>
        <v>39.65793</v>
      </c>
      <c r="P14" s="1">
        <v>51.188688010404221</v>
      </c>
      <c r="Q14" s="1">
        <v>39.438378268863772</v>
      </c>
      <c r="R14" s="1">
        <f t="shared" ca="1" si="0"/>
        <v>9.8560287831084073E-3</v>
      </c>
      <c r="T14" s="19">
        <f t="shared" ca="1" si="1"/>
        <v>3.0000000000000002E-2</v>
      </c>
      <c r="U14" s="1">
        <f ca="1">_xll.HestonOneOptionPrice($K$5,$K$6,$K$7,$T14,$K$9,$K$10,$K$11,$N$5,$N$6,U$8)</f>
        <v>22.29261</v>
      </c>
      <c r="V14" s="1">
        <f ca="1">_xll.HestonOneOptionPrice($K$5,$K$6,$K$7,$T14,$K$9,$K$10,$K$11,$N$5,$N$6,V$8)</f>
        <v>10.542299999999999</v>
      </c>
      <c r="W14" s="1">
        <v>22.29317830283135</v>
      </c>
      <c r="X14" s="1">
        <v>10.542868561290902</v>
      </c>
      <c r="Y14" s="1">
        <f t="shared" ca="1" si="2"/>
        <v>7.94207494383766E-5</v>
      </c>
      <c r="AA14" s="22">
        <f t="shared" ca="1" si="3"/>
        <v>3</v>
      </c>
      <c r="AB14" s="1">
        <f ca="1">_xll.HestonOneOptionPrice($K$5,$K$6,$K$7,$K$8,$K$9,$K$10,$K$11,$AA14,$N$6,AB$8)</f>
        <v>44.492289999999997</v>
      </c>
      <c r="AC14" s="1">
        <f ca="1">_xll.HestonOneOptionPrice($K$5,$K$6,$K$7,$K$8,$K$9,$K$10,$K$11,$AA14,$N$6,AC$8)</f>
        <v>37.266640000000002</v>
      </c>
      <c r="AD14" s="1">
        <v>44.493348944807266</v>
      </c>
      <c r="AE14" s="1">
        <v>37.267697577662545</v>
      </c>
      <c r="AF14" s="1">
        <f t="shared" ca="1" si="4"/>
        <v>5.2177933970827894E-5</v>
      </c>
    </row>
    <row r="15" spans="2:32" x14ac:dyDescent="0.35">
      <c r="M15" s="1">
        <f t="shared" ca="1" si="5"/>
        <v>0.7</v>
      </c>
      <c r="N15" s="1">
        <f ca="1">_xll.HestonOneOptionPrice($K$5,$K$6,$M15,$K$8,$K$9,$K$10,$K$11,$N$5,$N$6,N$8)</f>
        <v>52.46564</v>
      </c>
      <c r="O15" s="1">
        <f ca="1">_xll.HestonOneOptionPrice($K$5,$K$6,$M15,$K$8,$K$9,$K$10,$K$11,$N$5,$N$6,O$8)</f>
        <v>40.715330000000002</v>
      </c>
      <c r="P15" s="1">
        <v>52.256384987927142</v>
      </c>
      <c r="Q15" s="1">
        <v>40.506075246386693</v>
      </c>
      <c r="R15" s="1">
        <f t="shared" ca="1" si="0"/>
        <v>9.1704003813548665E-3</v>
      </c>
      <c r="T15" s="19">
        <f t="shared" ca="1" si="1"/>
        <v>3.5000000000000003E-2</v>
      </c>
      <c r="U15" s="1">
        <f ca="1">_xll.HestonOneOptionPrice($K$5,$K$6,$K$7,$T15,$K$9,$K$10,$K$11,$N$5,$N$6,U$8)</f>
        <v>23.15924</v>
      </c>
      <c r="V15" s="1">
        <f ca="1">_xll.HestonOneOptionPrice($K$5,$K$6,$K$7,$T15,$K$9,$K$10,$K$11,$N$5,$N$6,V$8)</f>
        <v>11.40893</v>
      </c>
      <c r="W15" s="1">
        <v>23.159865283993803</v>
      </c>
      <c r="X15" s="1">
        <v>11.409555542453361</v>
      </c>
      <c r="Y15" s="1">
        <f t="shared" ca="1" si="2"/>
        <v>8.1824791791848431E-5</v>
      </c>
      <c r="AA15" s="22">
        <f t="shared" ca="1" si="3"/>
        <v>3.5</v>
      </c>
      <c r="AB15" s="1">
        <f ca="1">_xll.HestonOneOptionPrice($K$5,$K$6,$K$7,$K$8,$K$9,$K$10,$K$11,$AA15,$N$6,AB$8)</f>
        <v>48.135669999999998</v>
      </c>
      <c r="AC15" s="1">
        <f ca="1">_xll.HestonOneOptionPrice($K$5,$K$6,$K$7,$K$8,$K$9,$K$10,$K$11,$AA15,$N$6,AC$8)</f>
        <v>39.757559999999998</v>
      </c>
      <c r="AD15" s="1">
        <v>48.13068568442317</v>
      </c>
      <c r="AE15" s="1">
        <v>39.752572849510926</v>
      </c>
      <c r="AF15" s="1">
        <f t="shared" ca="1" si="4"/>
        <v>2.2901274427056454E-4</v>
      </c>
    </row>
    <row r="16" spans="2:32" x14ac:dyDescent="0.35">
      <c r="B16" s="1" t="s">
        <v>8</v>
      </c>
      <c r="C16" s="1" t="s">
        <v>50</v>
      </c>
      <c r="D16" s="1" t="s">
        <v>51</v>
      </c>
      <c r="E16" s="1" t="s">
        <v>29</v>
      </c>
      <c r="M16" s="1">
        <f t="shared" ca="1" si="5"/>
        <v>0.79999999999999993</v>
      </c>
      <c r="N16" s="1">
        <f ca="1">_xll.HestonOneOptionPrice($K$5,$K$6,$M16,$K$8,$K$9,$K$10,$K$11,$N$5,$N$6,N$8)</f>
        <v>53.301259999999999</v>
      </c>
      <c r="O16" s="1">
        <f ca="1">_xll.HestonOneOptionPrice($K$5,$K$6,$M16,$K$8,$K$9,$K$10,$K$11,$N$5,$N$6,O$8)</f>
        <v>41.55095</v>
      </c>
      <c r="P16" s="1">
        <v>53.103191049177816</v>
      </c>
      <c r="Q16" s="1">
        <v>41.352881307637368</v>
      </c>
      <c r="R16" s="1">
        <f t="shared" ca="1" si="0"/>
        <v>8.5196071876938555E-3</v>
      </c>
      <c r="T16" s="19">
        <f t="shared" ca="1" si="1"/>
        <v>0.04</v>
      </c>
      <c r="U16" s="1">
        <f ca="1">_xll.HestonOneOptionPrice($K$5,$K$6,$K$7,$T16,$K$9,$K$10,$K$11,$N$5,$N$6,U$8)</f>
        <v>23.98208</v>
      </c>
      <c r="V16" s="1">
        <f ca="1">_xll.HestonOneOptionPrice($K$5,$K$6,$K$7,$T16,$K$9,$K$10,$K$11,$N$5,$N$6,V$8)</f>
        <v>12.231769999999999</v>
      </c>
      <c r="W16" s="1">
        <v>23.982771577625449</v>
      </c>
      <c r="X16" s="1">
        <v>12.232461836084994</v>
      </c>
      <c r="Y16" s="1">
        <f t="shared" ca="1" si="2"/>
        <v>8.539382222490951E-5</v>
      </c>
      <c r="AA16" s="22">
        <f t="shared" ca="1" si="3"/>
        <v>4</v>
      </c>
      <c r="AB16" s="1">
        <f ca="1">_xll.HestonOneOptionPrice($K$5,$K$6,$K$7,$K$8,$K$9,$K$10,$K$11,$AA16,$N$6,AB$8)</f>
        <v>51.406930000000003</v>
      </c>
      <c r="AC16" s="1">
        <f ca="1">_xll.HestonOneOptionPrice($K$5,$K$6,$K$7,$K$8,$K$9,$K$10,$K$11,$AA16,$N$6,AC$8)</f>
        <v>41.89067</v>
      </c>
      <c r="AD16" s="1">
        <v>51.386144931599389</v>
      </c>
      <c r="AE16" s="1">
        <v>41.869886735195337</v>
      </c>
      <c r="AF16" s="1">
        <f t="shared" ca="1" si="4"/>
        <v>9.0086517691690001E-4</v>
      </c>
    </row>
    <row r="17" spans="2:32" x14ac:dyDescent="0.35">
      <c r="B17" s="1">
        <v>1</v>
      </c>
      <c r="C17" s="17">
        <f ca="1">_xll.HestonOneOptionPrice($C$5,$C$6,$C$7,$C$8,$C$9,$C$10,$C$11,$B17,$C$14,"call")</f>
        <v>7.2741800000000003</v>
      </c>
      <c r="D17" s="1">
        <v>7.27</v>
      </c>
      <c r="E17" s="17">
        <f ca="1">ABS(C17-D17)</f>
        <v>4.1800000000007387E-3</v>
      </c>
      <c r="M17" s="1">
        <f t="shared" ca="1" si="5"/>
        <v>0.89999999999999991</v>
      </c>
      <c r="N17" s="1">
        <f ca="1">_xll.HestonOneOptionPrice($K$5,$K$6,$M17,$K$8,$K$9,$K$10,$K$11,$N$5,$N$6,N$8)</f>
        <v>53.974850000000004</v>
      </c>
      <c r="O17" s="1">
        <f ca="1">_xll.HestonOneOptionPrice($K$5,$K$6,$M17,$K$8,$K$9,$K$10,$K$11,$N$5,$N$6,O$8)</f>
        <v>42.224539999999998</v>
      </c>
      <c r="P17" s="1">
        <v>53.787970299620326</v>
      </c>
      <c r="Q17" s="1">
        <v>42.037660558079878</v>
      </c>
      <c r="R17" s="1">
        <f t="shared" ca="1" si="0"/>
        <v>7.9199015602469253E-3</v>
      </c>
      <c r="T17" s="19">
        <f t="shared" ca="1" si="1"/>
        <v>4.4999999999999998E-2</v>
      </c>
      <c r="U17" s="1">
        <f ca="1">_xll.HestonOneOptionPrice($K$5,$K$6,$K$7,$T17,$K$9,$K$10,$K$11,$N$5,$N$6,U$8)</f>
        <v>24.766749999999998</v>
      </c>
      <c r="V17" s="1">
        <f ca="1">_xll.HestonOneOptionPrice($K$5,$K$6,$K$7,$T17,$K$9,$K$10,$K$11,$N$5,$N$6,V$8)</f>
        <v>13.016439999999999</v>
      </c>
      <c r="W17" s="1">
        <v>24.767498641928015</v>
      </c>
      <c r="X17" s="1">
        <v>13.017188900387566</v>
      </c>
      <c r="Y17" s="1">
        <f t="shared" ca="1" si="2"/>
        <v>8.7758440330341263E-5</v>
      </c>
      <c r="AA17" s="22">
        <f t="shared" ca="1" si="3"/>
        <v>4.5</v>
      </c>
      <c r="AB17" s="1">
        <f ca="1">_xll.HestonOneOptionPrice($K$5,$K$6,$K$7,$K$8,$K$9,$K$10,$K$11,$AA17,$N$6,AB$8)</f>
        <v>54.382860000000001</v>
      </c>
      <c r="AC17" s="1">
        <f ca="1">_xll.HestonOneOptionPrice($K$5,$K$6,$K$7,$K$8,$K$9,$K$10,$K$11,$AA17,$N$6,AC$8)</f>
        <v>43.74259</v>
      </c>
      <c r="AD17" s="1">
        <v>54.329212204378997</v>
      </c>
      <c r="AE17" s="1">
        <v>43.688946915230567</v>
      </c>
      <c r="AF17" s="1">
        <f t="shared" ca="1" si="4"/>
        <v>2.2152987421674404E-3</v>
      </c>
    </row>
    <row r="18" spans="2:32" x14ac:dyDescent="0.35">
      <c r="B18" s="1">
        <v>2</v>
      </c>
      <c r="C18" s="17">
        <f ca="1">_xll.HestonOneOptionPrice($C$5,$C$6,$C$7,$C$8,$C$9,$C$10,$C$11,$B18,$C$14,"call")</f>
        <v>11.73714</v>
      </c>
      <c r="D18" s="1">
        <v>11.73</v>
      </c>
      <c r="E18" s="17">
        <f ca="1">ABS(C18-D18)</f>
        <v>7.1399999999997021E-3</v>
      </c>
      <c r="M18" s="1">
        <f t="shared" ca="1" si="5"/>
        <v>0.99999999999999989</v>
      </c>
      <c r="N18" s="1">
        <f ca="1">_xll.HestonOneOptionPrice($K$5,$K$6,$M18,$K$8,$K$9,$K$10,$K$11,$N$5,$N$6,N$8)</f>
        <v>54.527279999999998</v>
      </c>
      <c r="O18" s="1">
        <f ca="1">_xll.HestonOneOptionPrice($K$5,$K$6,$M18,$K$8,$K$9,$K$10,$K$11,$N$5,$N$6,O$8)</f>
        <v>42.776969999999999</v>
      </c>
      <c r="P18" s="1">
        <v>54.351091127985129</v>
      </c>
      <c r="Q18" s="1">
        <v>42.60078138644468</v>
      </c>
      <c r="R18" s="1">
        <f t="shared" ca="1" si="0"/>
        <v>7.3774875820890803E-3</v>
      </c>
      <c r="T18" s="19">
        <f t="shared" ca="1" si="1"/>
        <v>4.9999999999999996E-2</v>
      </c>
      <c r="U18" s="1">
        <f ca="1">_xll.HestonOneOptionPrice($K$5,$K$6,$K$7,$T18,$K$9,$K$10,$K$11,$N$5,$N$6,U$8)</f>
        <v>25.51773</v>
      </c>
      <c r="V18" s="1">
        <f ca="1">_xll.HestonOneOptionPrice($K$5,$K$6,$K$7,$T18,$K$9,$K$10,$K$11,$N$5,$N$6,V$8)</f>
        <v>13.76742</v>
      </c>
      <c r="W18" s="1">
        <v>25.518546156664492</v>
      </c>
      <c r="X18" s="1">
        <v>13.768236415124036</v>
      </c>
      <c r="Y18" s="1">
        <f t="shared" ca="1" si="2"/>
        <v>9.1279883224306725E-5</v>
      </c>
      <c r="AA18" s="22">
        <f t="shared" ca="1" si="3"/>
        <v>5</v>
      </c>
      <c r="AB18" s="1">
        <f ca="1">_xll.HestonOneOptionPrice($K$5,$K$6,$K$7,$K$8,$K$9,$K$10,$K$11,$AA18,$N$6,AB$8)</f>
        <v>57.12377</v>
      </c>
      <c r="AC18" s="1">
        <f ca="1">_xll.HestonOneOptionPrice($K$5,$K$6,$K$7,$K$8,$K$9,$K$10,$K$11,$AA18,$N$6,AC$8)</f>
        <v>45.373460000000001</v>
      </c>
      <c r="AD18" s="1">
        <v>57.010527343708269</v>
      </c>
      <c r="AE18" s="1">
        <v>45.26021760216782</v>
      </c>
      <c r="AF18" s="1">
        <f t="shared" ca="1" si="4"/>
        <v>4.4883758700443579E-3</v>
      </c>
    </row>
    <row r="19" spans="2:32" x14ac:dyDescent="0.35">
      <c r="B19" s="1">
        <v>3</v>
      </c>
      <c r="C19" s="17">
        <f ca="1">_xll.HestonOneOptionPrice($C$5,$C$6,$C$7,$C$8,$C$9,$C$10,$C$11,$B19,$C$14,"call")</f>
        <v>15.478960000000001</v>
      </c>
      <c r="D19" s="1">
        <v>15.48</v>
      </c>
      <c r="E19" s="17">
        <f ca="1">ABS(C19-D19)</f>
        <v>1.0399999999997078E-3</v>
      </c>
      <c r="M19" s="1">
        <f t="shared" ca="1" si="5"/>
        <v>1.0999999999999999</v>
      </c>
      <c r="N19" s="1">
        <f ca="1">_xll.HestonOneOptionPrice($K$5,$K$6,$M19,$K$8,$K$9,$K$10,$K$11,$N$5,$N$6,N$8)</f>
        <v>54.987270000000002</v>
      </c>
      <c r="O19" s="1">
        <f ca="1">_xll.HestonOneOptionPrice($K$5,$K$6,$M19,$K$8,$K$9,$K$10,$K$11,$N$5,$N$6,O$8)</f>
        <v>43.236960000000003</v>
      </c>
      <c r="P19" s="1">
        <v>54.821008138944876</v>
      </c>
      <c r="Q19" s="1">
        <v>43.070698397404428</v>
      </c>
      <c r="R19" s="1">
        <f t="shared" ca="1" si="0"/>
        <v>6.8930150578643537E-3</v>
      </c>
      <c r="T19" s="19">
        <f t="shared" ca="1" si="1"/>
        <v>5.4999999999999993E-2</v>
      </c>
      <c r="U19" s="1">
        <f ca="1">_xll.HestonOneOptionPrice($K$5,$K$6,$K$7,$T19,$K$9,$K$10,$K$11,$N$5,$N$6,U$8)</f>
        <v>26.238720000000001</v>
      </c>
      <c r="V19" s="1">
        <f ca="1">_xll.HestonOneOptionPrice($K$5,$K$6,$K$7,$T19,$K$9,$K$10,$K$11,$N$5,$N$6,V$8)</f>
        <v>14.48841</v>
      </c>
      <c r="W19" s="1">
        <v>26.239590824636949</v>
      </c>
      <c r="X19" s="1">
        <v>14.4892810830965</v>
      </c>
      <c r="Y19" s="1">
        <f t="shared" ca="1" si="2"/>
        <v>9.3306570549214405E-5</v>
      </c>
      <c r="AA19" s="22">
        <f t="shared" ca="1" si="3"/>
        <v>5.5</v>
      </c>
      <c r="AB19" s="1">
        <f ca="1">_xll.HestonOneOptionPrice($K$5,$K$6,$K$7,$K$8,$K$9,$K$10,$K$11,$AA19,$N$6,AB$8)</f>
        <v>59.680410000000002</v>
      </c>
      <c r="AC19" s="1">
        <f ca="1">_xll.HestonOneOptionPrice($K$5,$K$6,$K$7,$K$8,$K$9,$K$10,$K$11,$AA19,$N$6,AC$8)</f>
        <v>46.833849999999998</v>
      </c>
      <c r="AD19" s="1">
        <v>59.468335569931824</v>
      </c>
      <c r="AE19" s="1">
        <v>46.621770569647609</v>
      </c>
      <c r="AF19" s="1">
        <f t="shared" ca="1" si="4"/>
        <v>8.1151095325314917E-3</v>
      </c>
    </row>
    <row r="20" spans="2:32" x14ac:dyDescent="0.35">
      <c r="B20" s="1">
        <v>4</v>
      </c>
      <c r="C20" s="17">
        <f ca="1">_xll.HestonOneOptionPrice($C$5,$C$6,$C$7,$C$8,$C$9,$C$10,$C$11,$B20,$C$14,"call")</f>
        <v>18.773820000000001</v>
      </c>
      <c r="D20" s="1">
        <v>18.77</v>
      </c>
      <c r="E20" s="17">
        <f ca="1">ABS(C20-D20)</f>
        <v>3.8200000000010448E-3</v>
      </c>
      <c r="M20" s="1">
        <f t="shared" ca="1" si="5"/>
        <v>1.2</v>
      </c>
      <c r="N20" s="1">
        <f ca="1">_xll.HestonOneOptionPrice($K$5,$K$6,$M20,$K$8,$K$9,$K$10,$K$11,$N$5,$N$6,N$8)</f>
        <v>55.375480000000003</v>
      </c>
      <c r="O20" s="1">
        <f ca="1">_xll.HestonOneOptionPrice($K$5,$K$6,$M20,$K$8,$K$9,$K$10,$K$11,$N$5,$N$6,O$8)</f>
        <v>43.625169999999997</v>
      </c>
      <c r="P20" s="1">
        <v>55.218247293306028</v>
      </c>
      <c r="Q20" s="1">
        <v>43.46793755176558</v>
      </c>
      <c r="R20" s="1">
        <f t="shared" ca="1" si="0"/>
        <v>6.4646824829931449E-3</v>
      </c>
      <c r="T20" s="19">
        <f t="shared" ca="1" si="1"/>
        <v>5.9999999999999991E-2</v>
      </c>
      <c r="U20" s="1">
        <f ca="1">_xll.HestonOneOptionPrice($K$5,$K$6,$K$7,$T20,$K$9,$K$10,$K$11,$N$5,$N$6,U$8)</f>
        <v>26.932749999999999</v>
      </c>
      <c r="V20" s="1">
        <f ca="1">_xll.HestonOneOptionPrice($K$5,$K$6,$K$7,$T20,$K$9,$K$10,$K$11,$N$5,$N$6,V$8)</f>
        <v>15.18244</v>
      </c>
      <c r="W20" s="1">
        <v>26.933681832429336</v>
      </c>
      <c r="X20" s="1">
        <v>15.183372090888881</v>
      </c>
      <c r="Y20" s="1">
        <f t="shared" ca="1" si="2"/>
        <v>9.5986215938593855E-5</v>
      </c>
      <c r="AA20" s="22">
        <f t="shared" ca="1" si="3"/>
        <v>6</v>
      </c>
      <c r="AB20" s="1">
        <f ca="1">_xll.HestonOneOptionPrice($K$5,$K$6,$K$7,$K$8,$K$9,$K$10,$K$11,$AA20,$N$6,AB$8)</f>
        <v>62.098030000000001</v>
      </c>
      <c r="AC20" s="1">
        <f ca="1">_xll.HestonOneOptionPrice($K$5,$K$6,$K$7,$K$8,$K$9,$K$10,$K$11,$AA20,$N$6,AC$8)</f>
        <v>48.16883</v>
      </c>
      <c r="AD20" s="1">
        <v>61.732400374877642</v>
      </c>
      <c r="AE20" s="1">
        <v>47.803198017383423</v>
      </c>
      <c r="AF20" s="1">
        <f t="shared" ca="1" si="4"/>
        <v>1.357150854684498E-2</v>
      </c>
    </row>
    <row r="21" spans="2:32" x14ac:dyDescent="0.35">
      <c r="B21" s="1">
        <v>15</v>
      </c>
      <c r="C21" s="17">
        <f ca="1">_xll.HestonOneOptionPrice($C$5,$C$6,$C$7,$C$8,$C$9,$C$10,$C$11,$B21,$C$14,"call")</f>
        <v>43.170099999999998</v>
      </c>
      <c r="D21" s="1">
        <v>43.17</v>
      </c>
      <c r="E21" s="17">
        <f ca="1">ABS(C21-D21)</f>
        <v>9.9999999996214228E-5</v>
      </c>
      <c r="M21" s="1">
        <f t="shared" ca="1" si="5"/>
        <v>1.3</v>
      </c>
      <c r="N21" s="1">
        <f ca="1">_xll.HestonOneOptionPrice($K$5,$K$6,$M21,$K$8,$K$9,$K$10,$K$11,$N$5,$N$6,N$8)</f>
        <v>55.70702</v>
      </c>
      <c r="O21" s="1">
        <f ca="1">_xll.HestonOneOptionPrice($K$5,$K$6,$M21,$K$8,$K$9,$K$10,$K$11,$N$5,$N$6,O$8)</f>
        <v>43.956710000000001</v>
      </c>
      <c r="P21" s="1">
        <v>55.557914892898893</v>
      </c>
      <c r="Q21" s="1">
        <v>43.807605151358445</v>
      </c>
      <c r="R21" s="1">
        <f t="shared" ca="1" si="0"/>
        <v>6.0874072571799462E-3</v>
      </c>
      <c r="T21" s="19">
        <f t="shared" ca="1" si="1"/>
        <v>6.4999999999999988E-2</v>
      </c>
      <c r="U21" s="1">
        <f ca="1">_xll.HestonOneOptionPrice($K$5,$K$6,$K$7,$T21,$K$9,$K$10,$K$11,$N$5,$N$6,U$8)</f>
        <v>27.60239</v>
      </c>
      <c r="V21" s="1">
        <f ca="1">_xll.HestonOneOptionPrice($K$5,$K$6,$K$7,$T21,$K$9,$K$10,$K$11,$N$5,$N$6,V$8)</f>
        <v>15.852080000000001</v>
      </c>
      <c r="W21" s="1">
        <v>27.603380750348201</v>
      </c>
      <c r="X21" s="1">
        <v>15.85307100880776</v>
      </c>
      <c r="Y21" s="1">
        <f t="shared" ca="1" si="2"/>
        <v>9.8404458256930275E-5</v>
      </c>
      <c r="AA21" s="22">
        <f t="shared" ca="1" si="3"/>
        <v>6.5</v>
      </c>
      <c r="AB21" s="1">
        <f ca="1">_xll.HestonOneOptionPrice($K$5,$K$6,$K$7,$K$8,$K$9,$K$10,$K$11,$AA21,$N$6,AB$8)</f>
        <v>64.418369999999996</v>
      </c>
      <c r="AC21" s="1">
        <f ca="1">_xll.HestonOneOptionPrice($K$5,$K$6,$K$7,$K$8,$K$9,$K$10,$K$11,$AA21,$N$6,AC$8)</f>
        <v>49.419980000000002</v>
      </c>
      <c r="AD21" s="1">
        <v>63.826469659923106</v>
      </c>
      <c r="AE21" s="1">
        <v>48.828078682462916</v>
      </c>
      <c r="AF21" s="1">
        <f t="shared" ca="1" si="4"/>
        <v>2.1395737807640404E-2</v>
      </c>
    </row>
    <row r="22" spans="2:32" x14ac:dyDescent="0.35">
      <c r="M22" s="1">
        <f t="shared" ca="1" si="5"/>
        <v>1.4000000000000001</v>
      </c>
      <c r="N22" s="1">
        <f ca="1">_xll.HestonOneOptionPrice($K$5,$K$6,$M22,$K$8,$K$9,$K$10,$K$11,$N$5,$N$6,N$8)</f>
        <v>55.993189999999998</v>
      </c>
      <c r="O22" s="1">
        <f ca="1">_xll.HestonOneOptionPrice($K$5,$K$6,$M22,$K$8,$K$9,$K$10,$K$11,$N$5,$N$6,O$8)</f>
        <v>44.24288</v>
      </c>
      <c r="P22" s="1">
        <v>55.851327625643478</v>
      </c>
      <c r="Q22" s="1">
        <v>44.10101788410303</v>
      </c>
      <c r="R22" s="1">
        <f t="shared" ca="1" si="0"/>
        <v>5.7567538172695653E-3</v>
      </c>
      <c r="T22" s="19">
        <f t="shared" ca="1" si="1"/>
        <v>6.9999999999999993E-2</v>
      </c>
      <c r="U22" s="1">
        <f ca="1">_xll.HestonOneOptionPrice($K$5,$K$6,$K$7,$T22,$K$9,$K$10,$K$11,$N$5,$N$6,U$8)</f>
        <v>28.24981</v>
      </c>
      <c r="V22" s="1">
        <f ca="1">_xll.HestonOneOptionPrice($K$5,$K$6,$K$7,$T22,$K$9,$K$10,$K$11,$N$5,$N$6,V$8)</f>
        <v>16.499500000000001</v>
      </c>
      <c r="W22" s="1">
        <v>28.250863768198535</v>
      </c>
      <c r="X22" s="1">
        <v>16.500554026658094</v>
      </c>
      <c r="Y22" s="1">
        <f t="shared" ca="1" si="2"/>
        <v>1.0117864731663519E-4</v>
      </c>
      <c r="AA22" s="22">
        <f t="shared" ca="1" si="3"/>
        <v>7</v>
      </c>
      <c r="AB22" s="1">
        <f ca="1">_xll.HestonOneOptionPrice($K$5,$K$6,$K$7,$K$8,$K$9,$K$10,$K$11,$AA22,$N$6,AB$8)</f>
        <v>66.680049999999994</v>
      </c>
      <c r="AC22" s="1">
        <f ca="1">_xll.HestonOneOptionPrice($K$5,$K$6,$K$7,$K$8,$K$9,$K$10,$K$11,$AA22,$N$6,AC$8)</f>
        <v>50.62576</v>
      </c>
      <c r="AD22" s="1">
        <v>65.769889983844564</v>
      </c>
      <c r="AE22" s="1">
        <v>49.715592060765303</v>
      </c>
      <c r="AF22" s="1">
        <f t="shared" ca="1" si="4"/>
        <v>3.2146046319912594E-2</v>
      </c>
    </row>
    <row r="23" spans="2:32" x14ac:dyDescent="0.35">
      <c r="D23" s="1" t="s">
        <v>44</v>
      </c>
      <c r="E23" s="17">
        <f ca="1">SUM(E17:E21)</f>
        <v>1.6279999999997408E-2</v>
      </c>
      <c r="M23" s="1">
        <f t="shared" ca="1" si="5"/>
        <v>1.5000000000000002</v>
      </c>
      <c r="N23" s="1">
        <f ca="1">_xll.HestonOneOptionPrice($K$5,$K$6,$M23,$K$8,$K$9,$K$10,$K$11,$N$5,$N$6,N$8)</f>
        <v>56.242550000000001</v>
      </c>
      <c r="O23" s="1">
        <f ca="1">_xll.HestonOneOptionPrice($K$5,$K$6,$M23,$K$8,$K$9,$K$10,$K$11,$N$5,$N$6,O$8)</f>
        <v>44.492240000000002</v>
      </c>
      <c r="P23" s="1">
        <v>56.10709954007217</v>
      </c>
      <c r="Q23" s="1">
        <v>44.356789798531722</v>
      </c>
      <c r="R23" s="1">
        <f t="shared" ca="1" si="0"/>
        <v>5.4677932235675216E-3</v>
      </c>
      <c r="T23" s="19">
        <f t="shared" ca="1" si="1"/>
        <v>7.4999999999999997E-2</v>
      </c>
      <c r="U23" s="1">
        <f ca="1">_xll.HestonOneOptionPrice($K$5,$K$6,$K$7,$T23,$K$9,$K$10,$K$11,$N$5,$N$6,U$8)</f>
        <v>28.87688</v>
      </c>
      <c r="V23" s="1">
        <f ca="1">_xll.HestonOneOptionPrice($K$5,$K$6,$K$7,$T23,$K$9,$K$10,$K$11,$N$5,$N$6,V$8)</f>
        <v>17.126570000000001</v>
      </c>
      <c r="W23" s="1">
        <v>28.877998196879659</v>
      </c>
      <c r="X23" s="1">
        <v>17.127688455339211</v>
      </c>
      <c r="Y23" s="1">
        <f t="shared" ca="1" si="2"/>
        <v>1.0402242154819574E-4</v>
      </c>
      <c r="AA23" s="22">
        <f t="shared" ca="1" si="3"/>
        <v>7.5</v>
      </c>
      <c r="AB23" s="1">
        <f ca="1">_xll.HestonOneOptionPrice($K$5,$K$6,$K$7,$K$8,$K$9,$K$10,$K$11,$AA23,$N$6,AB$8)</f>
        <v>68.918099999999995</v>
      </c>
      <c r="AC23" s="1">
        <f ca="1">_xll.HestonOneOptionPrice($K$5,$K$6,$K$7,$K$8,$K$9,$K$10,$K$11,$AA23,$N$6,AC$8)</f>
        <v>51.821019999999997</v>
      </c>
      <c r="AD23" s="1">
        <v>67.578699707233085</v>
      </c>
      <c r="AE23" s="1">
        <v>50.481611525273124</v>
      </c>
      <c r="AF23" s="1">
        <f t="shared" ca="1" si="4"/>
        <v>4.6352460261182754E-2</v>
      </c>
    </row>
    <row r="24" spans="2:32" x14ac:dyDescent="0.35">
      <c r="D24" s="1" t="s">
        <v>45</v>
      </c>
      <c r="E24" s="1">
        <v>0.05</v>
      </c>
      <c r="M24" s="1">
        <f t="shared" ca="1" si="5"/>
        <v>1.6000000000000003</v>
      </c>
      <c r="N24" s="1">
        <f ca="1">_xll.HestonOneOptionPrice($K$5,$K$6,$M24,$K$8,$K$9,$K$10,$K$11,$N$5,$N$6,N$8)</f>
        <v>56.461669999999998</v>
      </c>
      <c r="O24" s="1">
        <f ca="1">_xll.HestonOneOptionPrice($K$5,$K$6,$M24,$K$8,$K$9,$K$10,$K$11,$N$5,$N$6,O$8)</f>
        <v>44.711359999999999</v>
      </c>
      <c r="P24" s="1">
        <v>56.331883155863125</v>
      </c>
      <c r="Q24" s="1">
        <v>44.581573414322676</v>
      </c>
      <c r="R24" s="1">
        <f t="shared" ca="1" si="0"/>
        <v>5.2151836932493537E-3</v>
      </c>
      <c r="T24" s="19">
        <f t="shared" ca="1" si="1"/>
        <v>0.08</v>
      </c>
      <c r="U24" s="1">
        <f ca="1">_xll.HestonOneOptionPrice($K$5,$K$6,$K$7,$T24,$K$9,$K$10,$K$11,$N$5,$N$6,U$8)</f>
        <v>29.485230000000001</v>
      </c>
      <c r="V24" s="1">
        <f ca="1">_xll.HestonOneOptionPrice($K$5,$K$6,$K$7,$T24,$K$9,$K$10,$K$11,$N$5,$N$6,V$8)</f>
        <v>17.734919999999999</v>
      </c>
      <c r="W24" s="1">
        <v>29.486401093532649</v>
      </c>
      <c r="X24" s="1">
        <v>17.736091351992201</v>
      </c>
      <c r="Y24" s="1">
        <f t="shared" ca="1" si="2"/>
        <v>1.0575980652386437E-4</v>
      </c>
      <c r="AA24" s="22">
        <f t="shared" ca="1" si="3"/>
        <v>8</v>
      </c>
      <c r="AB24" s="1">
        <f ca="1">_xll.HestonOneOptionPrice($K$5,$K$6,$K$7,$K$8,$K$9,$K$10,$K$11,$AA24,$N$6,AB$8)</f>
        <v>71.163179999999997</v>
      </c>
      <c r="AC24" s="1">
        <f ca="1">_xll.HestonOneOptionPrice($K$5,$K$6,$K$7,$K$8,$K$9,$K$10,$K$11,$AA24,$N$6,AC$8)</f>
        <v>53.036259999999999</v>
      </c>
      <c r="AD24" s="1">
        <v>69.266392259395587</v>
      </c>
      <c r="AE24" s="1">
        <v>51.139467567193776</v>
      </c>
      <c r="AF24" s="1">
        <f t="shared" ca="1" si="4"/>
        <v>6.4474533027871886E-2</v>
      </c>
    </row>
    <row r="25" spans="2:32" x14ac:dyDescent="0.35">
      <c r="D25" s="1" t="s">
        <v>46</v>
      </c>
      <c r="E25" s="1" t="b">
        <f ca="1">IF(ISNUMBER(E23),E23&lt;E24,FALSE)</f>
        <v>1</v>
      </c>
    </row>
    <row r="26" spans="2:32" x14ac:dyDescent="0.35">
      <c r="Q26" s="1" t="s">
        <v>44</v>
      </c>
      <c r="R26" s="18">
        <f ca="1">SUM(R9:R24)</f>
        <v>0.13810011926901491</v>
      </c>
      <c r="X26" s="1" t="s">
        <v>44</v>
      </c>
      <c r="Y26" s="18">
        <f ca="1">SUM(Y9:Y24)</f>
        <v>1.3731920001588188E-3</v>
      </c>
      <c r="AE26" s="1" t="s">
        <v>44</v>
      </c>
      <c r="AF26" s="18">
        <f ca="1">SUM(AF9:AF24)</f>
        <v>0.19446838113885861</v>
      </c>
    </row>
    <row r="27" spans="2:32" x14ac:dyDescent="0.35">
      <c r="Q27" s="1" t="s">
        <v>45</v>
      </c>
      <c r="R27" s="18">
        <v>0.01</v>
      </c>
      <c r="X27" s="1" t="s">
        <v>45</v>
      </c>
      <c r="Y27" s="18">
        <v>0.01</v>
      </c>
      <c r="AE27" s="1" t="s">
        <v>45</v>
      </c>
      <c r="AF27" s="18">
        <v>0.01</v>
      </c>
    </row>
    <row r="29" spans="2:32" x14ac:dyDescent="0.35">
      <c r="Q29" s="1" t="s">
        <v>46</v>
      </c>
      <c r="R29" s="1" t="b">
        <f ca="1">IF(ISNUMBER(R26),R26&lt;R27,FALSE)</f>
        <v>0</v>
      </c>
      <c r="X29" s="1" t="s">
        <v>46</v>
      </c>
      <c r="Y29" s="1" t="b">
        <f ca="1">IF(ISNUMBER(Y26),Y26&lt;Y27,FALSE)</f>
        <v>1</v>
      </c>
      <c r="AE29" s="1" t="s">
        <v>46</v>
      </c>
      <c r="AF29" s="1" t="b">
        <f ca="1">IF(ISNUMBER(AF26),AF26&lt;AF27,FALSE)</f>
        <v>0</v>
      </c>
    </row>
    <row r="33" spans="13:32" x14ac:dyDescent="0.35">
      <c r="M33" s="1" t="s">
        <v>56</v>
      </c>
      <c r="T33" s="1" t="s">
        <v>57</v>
      </c>
      <c r="AA33" s="1" t="s">
        <v>59</v>
      </c>
    </row>
    <row r="34" spans="13:32" x14ac:dyDescent="0.35">
      <c r="M34" s="1" t="s">
        <v>8</v>
      </c>
      <c r="N34" s="1">
        <v>5</v>
      </c>
      <c r="AA34" s="1" t="s">
        <v>8</v>
      </c>
      <c r="AB34" s="1">
        <v>5</v>
      </c>
    </row>
    <row r="35" spans="13:32" x14ac:dyDescent="0.35">
      <c r="M35" s="1" t="s">
        <v>7</v>
      </c>
      <c r="N35" s="1">
        <v>100</v>
      </c>
      <c r="T35" s="1" t="s">
        <v>7</v>
      </c>
      <c r="U35" s="1">
        <v>100</v>
      </c>
    </row>
    <row r="37" spans="13:32" x14ac:dyDescent="0.35">
      <c r="M37" s="1" t="s">
        <v>4</v>
      </c>
      <c r="N37" s="1" t="s">
        <v>112</v>
      </c>
      <c r="O37" s="1" t="s">
        <v>113</v>
      </c>
      <c r="P37" s="1" t="s">
        <v>33</v>
      </c>
      <c r="Q37" s="1" t="s">
        <v>34</v>
      </c>
      <c r="R37" s="1" t="s">
        <v>29</v>
      </c>
      <c r="T37" s="1" t="s">
        <v>5</v>
      </c>
      <c r="U37" s="1" t="s">
        <v>112</v>
      </c>
      <c r="V37" s="1" t="s">
        <v>113</v>
      </c>
      <c r="W37" s="1" t="s">
        <v>33</v>
      </c>
      <c r="X37" s="1" t="s">
        <v>34</v>
      </c>
      <c r="Y37" s="1" t="s">
        <v>29</v>
      </c>
      <c r="AA37" s="1" t="s">
        <v>7</v>
      </c>
      <c r="AB37" s="1" t="s">
        <v>112</v>
      </c>
      <c r="AC37" s="1" t="s">
        <v>113</v>
      </c>
      <c r="AD37" s="1" t="s">
        <v>33</v>
      </c>
      <c r="AE37" s="1" t="s">
        <v>34</v>
      </c>
      <c r="AF37" s="1" t="s">
        <v>29</v>
      </c>
    </row>
    <row r="38" spans="13:32" x14ac:dyDescent="0.35">
      <c r="M38" s="18">
        <v>0.02</v>
      </c>
      <c r="N38" s="1">
        <f ca="1">_xll.HestonOneOptionPrice($K$5,$K$6,$K$7,$K$8,$M38,$K$10,$K$11,$N$5,$N$6,N$37)</f>
        <v>57.97119</v>
      </c>
      <c r="O38" s="1">
        <f ca="1">_xll.HestonOneOptionPrice($K$5,$K$6,$K$7,$K$8,$M38,$K$10,$K$11,$N$5,$N$6,O$37)</f>
        <v>46.220880000000001</v>
      </c>
      <c r="P38" s="1">
        <v>57.908982860110392</v>
      </c>
      <c r="Q38" s="1">
        <v>46.158673118569943</v>
      </c>
      <c r="R38" s="18">
        <f ca="1">ABS(N38-P38)/P38+ABS(O38-Q38)/Q38</f>
        <v>2.4218974491396058E-3</v>
      </c>
      <c r="T38" s="18">
        <v>-0.5</v>
      </c>
      <c r="U38" s="1">
        <f ca="1">_xll.HestonOneOptionPrice($K$5,$K$6,$K$7,$K$8,$K$9,$T38,$K$11,$N$5,$N$6,U$37)</f>
        <v>57.12377</v>
      </c>
      <c r="V38" s="1">
        <f ca="1">_xll.HestonOneOptionPrice($K$5,$K$6,$K$7,$K$8,$K$9,$T38,$K$11,$N$5,$N$6,V$37)</f>
        <v>45.373460000000001</v>
      </c>
      <c r="W38" s="1">
        <v>57.010527343708269</v>
      </c>
      <c r="X38" s="1">
        <v>45.26021760216782</v>
      </c>
      <c r="Y38" s="1">
        <f ca="1">ABS(U38-W38)/W38+ABS(V38-X38)/X38</f>
        <v>4.4883758700443579E-3</v>
      </c>
      <c r="AA38" s="21">
        <v>15</v>
      </c>
      <c r="AB38" s="1">
        <f ca="1">_xll.HestonOneOptionPrice($K$5,$K$6,$K$7,$K$8,$K$9,$K$10,$K$11,$AB$34,$AA38,AB$8)</f>
        <v>89.603089999999995</v>
      </c>
      <c r="AC38" s="1">
        <f ca="1">_xll.HestonOneOptionPrice($K$5,$K$6,$K$7,$K$8,$K$9,$K$10,$K$11,$AB$34,$AA38,AC$8)</f>
        <v>2.8405399999999998</v>
      </c>
      <c r="AD38" s="1">
        <v>88.784370284877653</v>
      </c>
      <c r="AE38" s="1">
        <v>2.0218238236465851</v>
      </c>
      <c r="AF38" s="1">
        <f ca="1">ABS(AB38-AD38)/AD38+ABS(AC38-AE38)/AE38</f>
        <v>0.41416086455880941</v>
      </c>
    </row>
    <row r="39" spans="13:32" x14ac:dyDescent="0.35">
      <c r="M39" s="19">
        <f ca="1">0.02+M38</f>
        <v>0.04</v>
      </c>
      <c r="N39" s="1">
        <f ca="1">_xll.HestonOneOptionPrice($K$5,$K$6,$K$7,$K$8,$M39,$K$10,$K$11,$N$5,$N$6,N$37)</f>
        <v>57.925809999999998</v>
      </c>
      <c r="O39" s="1">
        <f ca="1">_xll.HestonOneOptionPrice($K$5,$K$6,$K$7,$K$8,$M39,$K$10,$K$11,$N$5,$N$6,O$37)</f>
        <v>46.1755</v>
      </c>
      <c r="P39" s="1">
        <v>57.865450715137875</v>
      </c>
      <c r="Q39" s="1">
        <v>46.115140973597427</v>
      </c>
      <c r="R39" s="18">
        <f t="shared" ref="R39:R53" ca="1" si="6">ABS(N39-P39)/P39+ABS(O39-Q39)/Q39</f>
        <v>2.3519736630955978E-3</v>
      </c>
      <c r="T39" s="19">
        <f ca="1">T38+0.05</f>
        <v>-0.45</v>
      </c>
      <c r="U39" s="1">
        <f ca="1">_xll.HestonOneOptionPrice($K$5,$K$6,$K$7,$K$8,$K$9,$T39,$K$11,$N$5,$N$6,U$37)</f>
        <v>57.19623</v>
      </c>
      <c r="V39" s="1">
        <f ca="1">_xll.HestonOneOptionPrice($K$5,$K$6,$K$7,$K$8,$K$9,$T39,$K$11,$N$5,$N$6,V$37)</f>
        <v>45.445920000000001</v>
      </c>
      <c r="W39" s="1">
        <v>57.091143167144381</v>
      </c>
      <c r="X39" s="1">
        <v>45.340833425603932</v>
      </c>
      <c r="Y39" s="1">
        <f t="shared" ref="Y39:Y53" ca="1" si="7">ABS(U39-W39)/W39+ABS(V39-X39)/X39</f>
        <v>4.1583881369871428E-3</v>
      </c>
      <c r="AA39" s="22">
        <f t="shared" ref="AA39:AA53" ca="1" si="8">15+AA38</f>
        <v>30</v>
      </c>
      <c r="AB39" s="1">
        <f ca="1">_xll.HestonOneOptionPrice($K$5,$K$6,$K$7,$K$8,$K$9,$K$10,$K$11,$AB$34,$AA39,AB$8)</f>
        <v>80.592680000000001</v>
      </c>
      <c r="AC39" s="1">
        <f ca="1">_xll.HestonOneOptionPrice($K$5,$K$6,$K$7,$K$8,$K$9,$K$10,$K$11,$AB$34,$AA39,AC$8)</f>
        <v>7.06759</v>
      </c>
      <c r="AD39" s="1">
        <v>80.433950569983679</v>
      </c>
      <c r="AE39" s="1">
        <v>6.9088576475215433</v>
      </c>
      <c r="AF39" s="1">
        <f t="shared" ref="AF39:AF53" ca="1" si="9">ABS(AB39-AD39)/AD39+ABS(AC39-AE39)/AE39</f>
        <v>2.4948608442934679E-2</v>
      </c>
    </row>
    <row r="40" spans="13:32" x14ac:dyDescent="0.35">
      <c r="M40" s="19">
        <f t="shared" ref="M40:M53" ca="1" si="10">0.02+M39</f>
        <v>0.06</v>
      </c>
      <c r="N40" s="1">
        <f ca="1">_xll.HestonOneOptionPrice($K$5,$K$6,$K$7,$K$8,$M40,$K$10,$K$11,$N$5,$N$6,N$37)</f>
        <v>57.880600000000001</v>
      </c>
      <c r="O40" s="1">
        <f ca="1">_xll.HestonOneOptionPrice($K$5,$K$6,$K$7,$K$8,$M40,$K$10,$K$11,$N$5,$N$6,O$37)</f>
        <v>46.130290000000002</v>
      </c>
      <c r="P40" s="1">
        <v>57.821866078493386</v>
      </c>
      <c r="Q40" s="1">
        <v>46.071556336952938</v>
      </c>
      <c r="R40" s="18">
        <f t="shared" ca="1" si="6"/>
        <v>2.2906092009947927E-3</v>
      </c>
      <c r="T40" s="19">
        <f t="shared" ref="T40:T53" ca="1" si="11">T39+0.05</f>
        <v>-0.4</v>
      </c>
      <c r="U40" s="1">
        <f ca="1">_xll.HestonOneOptionPrice($K$5,$K$6,$K$7,$K$8,$K$9,$T40,$K$11,$N$5,$N$6,U$37)</f>
        <v>57.270119999999999</v>
      </c>
      <c r="V40" s="1">
        <f ca="1">_xll.HestonOneOptionPrice($K$5,$K$6,$K$7,$K$8,$K$9,$T40,$K$11,$N$5,$N$6,V$37)</f>
        <v>45.51981</v>
      </c>
      <c r="W40" s="1">
        <v>57.172053676179843</v>
      </c>
      <c r="X40" s="1">
        <v>45.421743934639395</v>
      </c>
      <c r="Y40" s="1">
        <f t="shared" ca="1" si="7"/>
        <v>3.8742957134469558E-3</v>
      </c>
      <c r="AA40" s="22">
        <f t="shared" ca="1" si="8"/>
        <v>45</v>
      </c>
      <c r="AB40" s="1">
        <f ca="1">_xll.HestonOneOptionPrice($K$5,$K$6,$K$7,$K$8,$K$9,$K$10,$K$11,$AB$34,$AA40,AB$8)</f>
        <v>73.827600000000004</v>
      </c>
      <c r="AC40" s="1">
        <f ca="1">_xll.HestonOneOptionPrice($K$5,$K$6,$K$7,$K$8,$K$9,$K$10,$K$11,$AB$34,$AA40,AC$8)</f>
        <v>13.539960000000001</v>
      </c>
      <c r="AD40" s="1">
        <v>73.766420095288524</v>
      </c>
      <c r="AE40" s="1">
        <v>13.47878071159532</v>
      </c>
      <c r="AF40" s="1">
        <f t="shared" ca="1" si="9"/>
        <v>5.3683068066114233E-3</v>
      </c>
    </row>
    <row r="41" spans="13:32" x14ac:dyDescent="0.35">
      <c r="M41" s="19">
        <f t="shared" ca="1" si="10"/>
        <v>0.08</v>
      </c>
      <c r="N41" s="1">
        <f ca="1">_xll.HestonOneOptionPrice($K$5,$K$6,$K$7,$K$8,$M41,$K$10,$K$11,$N$5,$N$6,N$37)</f>
        <v>57.835549999999998</v>
      </c>
      <c r="O41" s="1">
        <f ca="1">_xll.HestonOneOptionPrice($K$5,$K$6,$K$7,$K$8,$M41,$K$10,$K$11,$N$5,$N$6,O$37)</f>
        <v>46.085239999999999</v>
      </c>
      <c r="P41" s="1">
        <v>57.777845045122703</v>
      </c>
      <c r="Q41" s="1">
        <v>46.027535303582255</v>
      </c>
      <c r="R41" s="18">
        <f t="shared" ca="1" si="6"/>
        <v>2.2524379065751096E-3</v>
      </c>
      <c r="T41" s="19">
        <f t="shared" ca="1" si="11"/>
        <v>-0.35000000000000003</v>
      </c>
      <c r="U41" s="1">
        <f ca="1">_xll.HestonOneOptionPrice($K$5,$K$6,$K$7,$K$8,$K$9,$T41,$K$11,$N$5,$N$6,U$37)</f>
        <v>57.345559999999999</v>
      </c>
      <c r="V41" s="1">
        <f ca="1">_xll.HestonOneOptionPrice($K$5,$K$6,$K$7,$K$8,$K$9,$T41,$K$11,$N$5,$N$6,V$37)</f>
        <v>45.59525</v>
      </c>
      <c r="W41" s="1">
        <v>57.253263191051374</v>
      </c>
      <c r="X41" s="1">
        <v>45.502953449510926</v>
      </c>
      <c r="Y41" s="1">
        <f t="shared" ca="1" si="7"/>
        <v>3.6404434005345879E-3</v>
      </c>
      <c r="AA41" s="22">
        <f t="shared" ca="1" si="8"/>
        <v>60</v>
      </c>
      <c r="AB41" s="1">
        <f ca="1">_xll.HestonOneOptionPrice($K$5,$K$6,$K$7,$K$8,$K$9,$K$10,$K$11,$AB$34,$AA41,AB$8)</f>
        <v>68.279750000000007</v>
      </c>
      <c r="AC41" s="1">
        <f ca="1">_xll.HestonOneOptionPrice($K$5,$K$6,$K$7,$K$8,$K$9,$K$10,$K$11,$AB$34,$AA41,AC$8)</f>
        <v>21.229559999999999</v>
      </c>
      <c r="AD41" s="1">
        <v>68.233140622229541</v>
      </c>
      <c r="AE41" s="1">
        <v>21.18295477730527</v>
      </c>
      <c r="AF41" s="1">
        <f t="shared" ca="1" si="9"/>
        <v>2.8832185338021447E-3</v>
      </c>
    </row>
    <row r="42" spans="13:32" x14ac:dyDescent="0.35">
      <c r="M42" s="19">
        <f t="shared" ca="1" si="10"/>
        <v>0.1</v>
      </c>
      <c r="N42" s="1">
        <f ca="1">_xll.HestonOneOptionPrice($K$5,$K$6,$K$7,$K$8,$M42,$K$10,$K$11,$N$5,$N$6,N$37)</f>
        <v>57.790640000000003</v>
      </c>
      <c r="O42" s="1">
        <f ca="1">_xll.HestonOneOptionPrice($K$5,$K$6,$K$7,$K$8,$M42,$K$10,$K$11,$N$5,$N$6,O$37)</f>
        <v>46.040329999999997</v>
      </c>
      <c r="P42" s="1">
        <v>57.733345454957302</v>
      </c>
      <c r="Q42" s="1">
        <v>45.983035713416854</v>
      </c>
      <c r="R42" s="18">
        <f t="shared" ca="1" si="6"/>
        <v>2.2383870080342977E-3</v>
      </c>
      <c r="T42" s="19">
        <f t="shared" ca="1" si="11"/>
        <v>-0.30000000000000004</v>
      </c>
      <c r="U42" s="1">
        <f ca="1">_xll.HestonOneOptionPrice($K$5,$K$6,$K$7,$K$8,$K$9,$T42,$K$11,$N$5,$N$6,U$37)</f>
        <v>57.422699999999999</v>
      </c>
      <c r="V42" s="1">
        <f ca="1">_xll.HestonOneOptionPrice($K$5,$K$6,$K$7,$K$8,$K$9,$T42,$K$11,$N$5,$N$6,V$37)</f>
        <v>45.67239</v>
      </c>
      <c r="W42" s="1">
        <v>57.334776107222496</v>
      </c>
      <c r="X42" s="1">
        <v>45.584466365682047</v>
      </c>
      <c r="Y42" s="1">
        <f t="shared" ca="1" si="7"/>
        <v>3.4623246021545104E-3</v>
      </c>
      <c r="AA42" s="22">
        <f t="shared" ca="1" si="8"/>
        <v>75</v>
      </c>
      <c r="AB42" s="1">
        <f ca="1">_xll.HestonOneOptionPrice($K$5,$K$6,$K$7,$K$8,$K$9,$K$10,$K$11,$AB$34,$AA42,AB$8)</f>
        <v>63.584060000000001</v>
      </c>
      <c r="AC42" s="1">
        <f ca="1">_xll.HestonOneOptionPrice($K$5,$K$6,$K$7,$K$8,$K$9,$K$10,$K$11,$AB$34,$AA42,AC$8)</f>
        <v>29.771329999999999</v>
      </c>
      <c r="AD42" s="1">
        <v>63.524961300104039</v>
      </c>
      <c r="AE42" s="1">
        <v>29.712228993948699</v>
      </c>
      <c r="AF42" s="1">
        <f t="shared" ca="1" si="9"/>
        <v>2.919436330410757E-3</v>
      </c>
    </row>
    <row r="43" spans="13:32" x14ac:dyDescent="0.35">
      <c r="M43" s="19">
        <f t="shared" ca="1" si="10"/>
        <v>0.12000000000000001</v>
      </c>
      <c r="N43" s="1">
        <f ca="1">_xll.HestonOneOptionPrice($K$5,$K$6,$K$7,$K$8,$M43,$K$10,$K$11,$N$5,$N$6,N$37)</f>
        <v>57.745829999999998</v>
      </c>
      <c r="O43" s="1">
        <f ca="1">_xll.HestonOneOptionPrice($K$5,$K$6,$K$7,$K$8,$M43,$K$10,$K$11,$N$5,$N$6,O$37)</f>
        <v>45.995519999999999</v>
      </c>
      <c r="P43" s="1">
        <v>57.688361383777824</v>
      </c>
      <c r="Q43" s="1">
        <v>45.938051642237376</v>
      </c>
      <c r="R43" s="18">
        <f t="shared" ca="1" si="6"/>
        <v>2.2471876703263746E-3</v>
      </c>
      <c r="T43" s="19">
        <f t="shared" ca="1" si="11"/>
        <v>-0.25000000000000006</v>
      </c>
      <c r="U43" s="1">
        <f ca="1">_xll.HestonOneOptionPrice($K$5,$K$6,$K$7,$K$8,$K$9,$T43,$K$11,$N$5,$N$6,U$37)</f>
        <v>57.5017</v>
      </c>
      <c r="V43" s="1">
        <f ca="1">_xll.HestonOneOptionPrice($K$5,$K$6,$K$7,$K$8,$K$9,$T43,$K$11,$N$5,$N$6,V$37)</f>
        <v>45.751390000000001</v>
      </c>
      <c r="W43" s="1">
        <v>57.4165968942091</v>
      </c>
      <c r="X43" s="1">
        <v>45.666287152668652</v>
      </c>
      <c r="Y43" s="1">
        <f t="shared" ca="1" si="7"/>
        <v>3.345785421252934E-3</v>
      </c>
      <c r="AA43" s="22">
        <f t="shared" ca="1" si="8"/>
        <v>90</v>
      </c>
      <c r="AB43" s="1">
        <f ca="1">_xll.HestonOneOptionPrice($K$5,$K$6,$K$7,$K$8,$K$9,$K$10,$K$11,$AB$34,$AA43,AB$8)</f>
        <v>59.533920000000002</v>
      </c>
      <c r="AC43" s="1">
        <f ca="1">_xll.HestonOneOptionPrice($K$5,$K$6,$K$7,$K$8,$K$9,$K$10,$K$11,$AB$34,$AA43,AC$8)</f>
        <v>38.958640000000003</v>
      </c>
      <c r="AD43" s="1">
        <v>59.446653065109899</v>
      </c>
      <c r="AE43" s="1">
        <v>38.871374297723492</v>
      </c>
      <c r="AF43" s="1">
        <f t="shared" ca="1" si="9"/>
        <v>3.7129736407550116E-3</v>
      </c>
    </row>
    <row r="44" spans="13:32" x14ac:dyDescent="0.35">
      <c r="M44" s="19">
        <f t="shared" ca="1" si="10"/>
        <v>0.14000000000000001</v>
      </c>
      <c r="N44" s="1">
        <f ca="1">_xll.HestonOneOptionPrice($K$5,$K$6,$K$7,$K$8,$M44,$K$10,$K$11,$N$5,$N$6,N$37)</f>
        <v>57.70111</v>
      </c>
      <c r="O44" s="1">
        <f ca="1">_xll.HestonOneOptionPrice($K$5,$K$6,$K$7,$K$8,$M44,$K$10,$K$11,$N$5,$N$6,O$37)</f>
        <v>45.950800000000001</v>
      </c>
      <c r="P44" s="1">
        <v>57.642894781041164</v>
      </c>
      <c r="Q44" s="1">
        <v>45.892585039500716</v>
      </c>
      <c r="R44" s="18">
        <f t="shared" ca="1" si="6"/>
        <v>2.2784335045125991E-3</v>
      </c>
      <c r="T44" s="19">
        <f t="shared" ca="1" si="11"/>
        <v>-0.20000000000000007</v>
      </c>
      <c r="U44" s="1">
        <f ca="1">_xll.HestonOneOptionPrice($K$5,$K$6,$K$7,$K$8,$K$9,$T44,$K$11,$N$5,$N$6,U$37)</f>
        <v>57.582729999999998</v>
      </c>
      <c r="V44" s="1">
        <f ca="1">_xll.HestonOneOptionPrice($K$5,$K$6,$K$7,$K$8,$K$9,$T44,$K$11,$N$5,$N$6,V$37)</f>
        <v>45.832419999999999</v>
      </c>
      <c r="W44" s="1">
        <v>57.498730097449247</v>
      </c>
      <c r="X44" s="1">
        <v>45.748420355908799</v>
      </c>
      <c r="Y44" s="1">
        <f t="shared" ca="1" si="7"/>
        <v>3.2970213262674434E-3</v>
      </c>
      <c r="AA44" s="22">
        <f t="shared" ca="1" si="8"/>
        <v>105</v>
      </c>
      <c r="AB44" s="1">
        <f ca="1">_xll.HestonOneOptionPrice($K$5,$K$6,$K$7,$K$8,$K$9,$K$10,$K$11,$AB$34,$AA44,AB$8)</f>
        <v>55.994</v>
      </c>
      <c r="AC44" s="1">
        <f ca="1">_xll.HestonOneOptionPrice($K$5,$K$6,$K$7,$K$8,$K$9,$K$10,$K$11,$AB$34,$AA44,AC$8)</f>
        <v>48.656170000000003</v>
      </c>
      <c r="AD44" s="1">
        <v>55.865692799112743</v>
      </c>
      <c r="AE44" s="1">
        <v>48.527867570495268</v>
      </c>
      <c r="AF44" s="1">
        <f t="shared" ca="1" si="9"/>
        <v>4.9406000761296476E-3</v>
      </c>
    </row>
    <row r="45" spans="13:32" x14ac:dyDescent="0.35">
      <c r="M45" s="19">
        <f t="shared" ca="1" si="10"/>
        <v>0.16</v>
      </c>
      <c r="N45" s="1">
        <f ca="1">_xll.HestonOneOptionPrice($K$5,$K$6,$K$7,$K$8,$M45,$K$10,$K$11,$N$5,$N$6,N$37)</f>
        <v>57.656460000000003</v>
      </c>
      <c r="O45" s="1">
        <f ca="1">_xll.HestonOneOptionPrice($K$5,$K$6,$K$7,$K$8,$M45,$K$10,$K$11,$N$5,$N$6,O$37)</f>
        <v>45.906149999999997</v>
      </c>
      <c r="P45" s="1">
        <v>57.596950048150056</v>
      </c>
      <c r="Q45" s="1">
        <v>45.846640306609608</v>
      </c>
      <c r="R45" s="18">
        <f t="shared" ca="1" si="6"/>
        <v>2.3312300475909725E-3</v>
      </c>
      <c r="T45" s="19">
        <f t="shared" ca="1" si="11"/>
        <v>-0.15000000000000008</v>
      </c>
      <c r="U45" s="1">
        <f ca="1">_xll.HestonOneOptionPrice($K$5,$K$6,$K$7,$K$8,$K$9,$T45,$K$11,$N$5,$N$6,U$37)</f>
        <v>57.665959999999998</v>
      </c>
      <c r="V45" s="1">
        <f ca="1">_xll.HestonOneOptionPrice($K$5,$K$6,$K$7,$K$8,$K$9,$T45,$K$11,$N$5,$N$6,V$37)</f>
        <v>45.915649999999999</v>
      </c>
      <c r="W45" s="1">
        <v>57.581180340216996</v>
      </c>
      <c r="X45" s="1">
        <v>45.830870598676547</v>
      </c>
      <c r="Y45" s="1">
        <f t="shared" ca="1" si="7"/>
        <v>3.3221819431215657E-3</v>
      </c>
      <c r="AA45" s="22">
        <f t="shared" ca="1" si="8"/>
        <v>120</v>
      </c>
      <c r="AB45" s="1">
        <f ca="1">_xll.HestonOneOptionPrice($K$5,$K$6,$K$7,$K$8,$K$9,$K$10,$K$11,$AB$34,$AA45,AB$8)</f>
        <v>52.869160000000001</v>
      </c>
      <c r="AC45" s="1">
        <f ca="1">_xll.HestonOneOptionPrice($K$5,$K$6,$K$7,$K$8,$K$9,$K$10,$K$11,$AB$34,$AA45,AC$8)</f>
        <v>58.76878</v>
      </c>
      <c r="AD45" s="1">
        <v>52.687462144875724</v>
      </c>
      <c r="AE45" s="1">
        <v>58.58709045502718</v>
      </c>
      <c r="AF45" s="1">
        <f t="shared" ca="1" si="9"/>
        <v>6.549784962961114E-3</v>
      </c>
    </row>
    <row r="46" spans="13:32" x14ac:dyDescent="0.35">
      <c r="M46" s="19">
        <f t="shared" ca="1" si="10"/>
        <v>0.18</v>
      </c>
      <c r="N46" s="1">
        <f ca="1">_xll.HestonOneOptionPrice($K$5,$K$6,$K$7,$K$8,$M46,$K$10,$K$11,$N$5,$N$6,N$37)</f>
        <v>57.611879999999999</v>
      </c>
      <c r="O46" s="1">
        <f ca="1">_xll.HestonOneOptionPrice($K$5,$K$6,$K$7,$K$8,$M46,$K$10,$K$11,$N$5,$N$6,O$37)</f>
        <v>45.86157</v>
      </c>
      <c r="P46" s="1">
        <v>57.550532558611032</v>
      </c>
      <c r="Q46" s="1">
        <v>45.800222817070583</v>
      </c>
      <c r="R46" s="18">
        <f t="shared" ca="1" si="6"/>
        <v>2.4054268423707691E-3</v>
      </c>
      <c r="T46" s="19">
        <f t="shared" ca="1" si="11"/>
        <v>-0.10000000000000007</v>
      </c>
      <c r="U46" s="1">
        <f ca="1">_xll.HestonOneOptionPrice($K$5,$K$6,$K$7,$K$8,$K$9,$T46,$K$11,$N$5,$N$6,U$37)</f>
        <v>57.751570000000001</v>
      </c>
      <c r="V46" s="1">
        <f ca="1">_xll.HestonOneOptionPrice($K$5,$K$6,$K$7,$K$8,$K$9,$T46,$K$11,$N$5,$N$6,V$37)</f>
        <v>46.001260000000002</v>
      </c>
      <c r="W46" s="1">
        <v>57.663952325576872</v>
      </c>
      <c r="X46" s="1">
        <v>45.913642584036424</v>
      </c>
      <c r="Y46" s="1">
        <f t="shared" ca="1" si="7"/>
        <v>3.427762126751061E-3</v>
      </c>
      <c r="AA46" s="22">
        <f t="shared" ca="1" si="8"/>
        <v>135</v>
      </c>
      <c r="AB46" s="1">
        <f ca="1">_xll.HestonOneOptionPrice($K$5,$K$6,$K$7,$K$8,$K$9,$K$10,$K$11,$AB$34,$AA46,AB$8)</f>
        <v>50.089419999999997</v>
      </c>
      <c r="AC46" s="1">
        <f ca="1">_xll.HestonOneOptionPrice($K$5,$K$6,$K$7,$K$8,$K$9,$K$10,$K$11,$AB$34,$AA46,AC$8)</f>
        <v>69.226500000000001</v>
      </c>
      <c r="AD46" s="1">
        <v>49.841817125698313</v>
      </c>
      <c r="AE46" s="1">
        <v>68.978898974618701</v>
      </c>
      <c r="AF46" s="1">
        <f t="shared" ca="1" si="9"/>
        <v>8.5572921962281771E-3</v>
      </c>
    </row>
    <row r="47" spans="13:32" x14ac:dyDescent="0.35">
      <c r="M47" s="19">
        <f t="shared" ca="1" si="10"/>
        <v>0.19999999999999998</v>
      </c>
      <c r="N47" s="1">
        <f ca="1">_xll.HestonOneOptionPrice($K$5,$K$6,$K$7,$K$8,$M47,$K$10,$K$11,$N$5,$N$6,N$37)</f>
        <v>57.567349999999998</v>
      </c>
      <c r="O47" s="1">
        <f ca="1">_xll.HestonOneOptionPrice($K$5,$K$6,$K$7,$K$8,$M47,$K$10,$K$11,$N$5,$N$6,O$37)</f>
        <v>45.817039999999999</v>
      </c>
      <c r="P47" s="1">
        <v>57.503648152706106</v>
      </c>
      <c r="Q47" s="1">
        <v>45.753338411165657</v>
      </c>
      <c r="R47" s="18">
        <f t="shared" ca="1" si="6"/>
        <v>2.5000707884360656E-3</v>
      </c>
      <c r="T47" s="19">
        <f t="shared" ca="1" si="11"/>
        <v>-5.0000000000000072E-2</v>
      </c>
      <c r="U47" s="1">
        <f ca="1">_xll.HestonOneOptionPrice($K$5,$K$6,$K$7,$K$8,$K$9,$T47,$K$11,$N$5,$N$6,U$37)</f>
        <v>57.839759999999998</v>
      </c>
      <c r="V47" s="1">
        <f ca="1">_xll.HestonOneOptionPrice($K$5,$K$6,$K$7,$K$8,$K$9,$T47,$K$11,$N$5,$N$6,V$37)</f>
        <v>46.089449999999999</v>
      </c>
      <c r="W47" s="1">
        <v>57.747050838388112</v>
      </c>
      <c r="X47" s="1">
        <v>45.996741096847664</v>
      </c>
      <c r="Y47" s="1">
        <f t="shared" ca="1" si="7"/>
        <v>3.6209891652247712E-3</v>
      </c>
      <c r="AA47" s="22">
        <f t="shared" ca="1" si="8"/>
        <v>150</v>
      </c>
      <c r="AB47" s="1">
        <f ca="1">_xll.HestonOneOptionPrice($K$5,$K$6,$K$7,$K$8,$K$9,$K$10,$K$11,$AB$34,$AA47,AB$8)</f>
        <v>47.601619999999997</v>
      </c>
      <c r="AC47" s="1">
        <f ca="1">_xll.HestonOneOptionPrice($K$5,$K$6,$K$7,$K$8,$K$9,$K$10,$K$11,$AB$34,$AA47,AC$8)</f>
        <v>79.976150000000004</v>
      </c>
      <c r="AD47" s="1">
        <v>47.275214509387837</v>
      </c>
      <c r="AE47" s="1">
        <v>79.649749897077157</v>
      </c>
      <c r="AF47" s="1">
        <f t="shared" ca="1" si="9"/>
        <v>1.1002310858195473E-2</v>
      </c>
    </row>
    <row r="48" spans="13:32" x14ac:dyDescent="0.35">
      <c r="M48" s="19">
        <f t="shared" ca="1" si="10"/>
        <v>0.21999999999999997</v>
      </c>
      <c r="N48" s="1">
        <f ca="1">_xll.HestonOneOptionPrice($K$5,$K$6,$K$7,$K$8,$M48,$K$10,$K$11,$N$5,$N$6,N$37)</f>
        <v>57.522860000000001</v>
      </c>
      <c r="O48" s="1">
        <f ca="1">_xll.HestonOneOptionPrice($K$5,$K$6,$K$7,$K$8,$M48,$K$10,$K$11,$N$5,$N$6,O$37)</f>
        <v>45.772550000000003</v>
      </c>
      <c r="P48" s="1">
        <v>57.456302934889507</v>
      </c>
      <c r="Q48" s="1">
        <v>45.705993193349059</v>
      </c>
      <c r="R48" s="18">
        <f t="shared" ca="1" si="6"/>
        <v>2.6145887940523665E-3</v>
      </c>
      <c r="T48" s="19">
        <f t="shared" ca="1" si="11"/>
        <v>-6.9388939039072284E-17</v>
      </c>
      <c r="U48" s="1">
        <f ca="1">_xll.HestonOneOptionPrice($K$5,$K$6,$K$7,$K$8,$K$9,$T48,$K$11,$N$5,$N$6,U$37)</f>
        <v>57.930709999999998</v>
      </c>
      <c r="V48" s="1">
        <f ca="1">_xll.HestonOneOptionPrice($K$5,$K$6,$K$7,$K$8,$K$9,$T48,$K$11,$N$5,$N$6,V$37)</f>
        <v>46.180399999999999</v>
      </c>
      <c r="W48" s="1">
        <v>57.830480747356006</v>
      </c>
      <c r="X48" s="1">
        <v>46.080171005815558</v>
      </c>
      <c r="Y48" s="1">
        <f t="shared" ca="1" si="7"/>
        <v>3.9082564463398597E-3</v>
      </c>
      <c r="AA48" s="22">
        <f t="shared" ca="1" si="8"/>
        <v>165</v>
      </c>
      <c r="AB48" s="1">
        <f ca="1">_xll.HestonOneOptionPrice($K$5,$K$6,$K$7,$K$8,$K$9,$K$10,$K$11,$AB$34,$AA48,AB$8)</f>
        <v>45.364359999999998</v>
      </c>
      <c r="AC48" s="1">
        <f ca="1">_xll.HestonOneOptionPrice($K$5,$K$6,$K$7,$K$8,$K$9,$K$10,$K$11,$AB$34,$AA48,AC$8)</f>
        <v>90.976339999999993</v>
      </c>
      <c r="AD48" s="1">
        <v>44.945811994227</v>
      </c>
      <c r="AE48" s="1">
        <v>90.557800920685253</v>
      </c>
      <c r="AF48" s="1">
        <f t="shared" ca="1" si="9"/>
        <v>1.3934069781351243E-2</v>
      </c>
    </row>
    <row r="49" spans="13:32" x14ac:dyDescent="0.35">
      <c r="M49" s="19">
        <f t="shared" ca="1" si="10"/>
        <v>0.23999999999999996</v>
      </c>
      <c r="N49" s="1">
        <f ca="1">_xll.HestonOneOptionPrice($K$5,$K$6,$K$7,$K$8,$M49,$K$10,$K$11,$N$5,$N$6,N$37)</f>
        <v>57.478409999999997</v>
      </c>
      <c r="O49" s="1">
        <f ca="1">_xll.HestonOneOptionPrice($K$5,$K$6,$K$7,$K$8,$M49,$K$10,$K$11,$N$5,$N$6,O$37)</f>
        <v>45.728099999999998</v>
      </c>
      <c r="P49" s="1">
        <v>57.4085031815288</v>
      </c>
      <c r="Q49" s="1">
        <v>45.658193439988352</v>
      </c>
      <c r="R49" s="18">
        <f t="shared" ca="1" si="6"/>
        <v>2.7487931028379012E-3</v>
      </c>
      <c r="T49" s="19">
        <f t="shared" ca="1" si="11"/>
        <v>4.9999999999999933E-2</v>
      </c>
      <c r="U49" s="1">
        <f ca="1">_xll.HestonOneOptionPrice($K$5,$K$6,$K$7,$K$8,$K$9,$T49,$K$11,$N$5,$N$6,U$37)</f>
        <v>58.024650000000001</v>
      </c>
      <c r="V49" s="1">
        <f ca="1">_xll.HestonOneOptionPrice($K$5,$K$6,$K$7,$K$8,$K$9,$T49,$K$11,$N$5,$N$6,V$37)</f>
        <v>46.274340000000002</v>
      </c>
      <c r="W49" s="1">
        <v>57.91424700713219</v>
      </c>
      <c r="X49" s="1">
        <v>46.163937265591741</v>
      </c>
      <c r="Y49" s="1">
        <f t="shared" ca="1" si="7"/>
        <v>4.2978547267032308E-3</v>
      </c>
      <c r="AA49" s="22">
        <f t="shared" ca="1" si="8"/>
        <v>180</v>
      </c>
      <c r="AB49" s="1">
        <f ca="1">_xll.HestonOneOptionPrice($K$5,$K$6,$K$7,$K$8,$K$9,$K$10,$K$11,$AB$34,$AA49,AB$8)</f>
        <v>43.344729999999998</v>
      </c>
      <c r="AC49" s="1">
        <f ca="1">_xll.HestonOneOptionPrice($K$5,$K$6,$K$7,$K$8,$K$9,$K$10,$K$11,$AB$34,$AA49,AC$8)</f>
        <v>102.19418</v>
      </c>
      <c r="AD49" s="1">
        <v>42.820273333605606</v>
      </c>
      <c r="AE49" s="1">
        <v>101.66971579883278</v>
      </c>
      <c r="AF49" s="1">
        <f t="shared" ca="1" si="9"/>
        <v>1.7406368475249113E-2</v>
      </c>
    </row>
    <row r="50" spans="13:32" x14ac:dyDescent="0.35">
      <c r="M50" s="19">
        <f t="shared" ca="1" si="10"/>
        <v>0.25999999999999995</v>
      </c>
      <c r="N50" s="1">
        <f ca="1">_xll.HestonOneOptionPrice($K$5,$K$6,$K$7,$K$8,$M50,$K$10,$K$11,$N$5,$N$6,N$37)</f>
        <v>57.433990000000001</v>
      </c>
      <c r="O50" s="1">
        <f ca="1">_xll.HestonOneOptionPrice($K$5,$K$6,$K$7,$K$8,$M50,$K$10,$K$11,$N$5,$N$6,O$37)</f>
        <v>45.683680000000003</v>
      </c>
      <c r="P50" s="1">
        <v>57.360255293946949</v>
      </c>
      <c r="Q50" s="1">
        <v>45.609945552406501</v>
      </c>
      <c r="R50" s="18">
        <f t="shared" ca="1" si="6"/>
        <v>2.9020977447678275E-3</v>
      </c>
      <c r="T50" s="19">
        <f t="shared" ca="1" si="11"/>
        <v>9.9999999999999936E-2</v>
      </c>
      <c r="U50" s="1">
        <f ca="1">_xll.HestonOneOptionPrice($K$5,$K$6,$K$7,$K$8,$K$9,$T50,$K$11,$N$5,$N$6,U$37)</f>
        <v>58.121760000000002</v>
      </c>
      <c r="V50" s="1">
        <f ca="1">_xll.HestonOneOptionPrice($K$5,$K$6,$K$7,$K$8,$K$9,$T50,$K$11,$N$5,$N$6,V$37)</f>
        <v>46.371450000000003</v>
      </c>
      <c r="W50" s="1">
        <v>57.998354660463526</v>
      </c>
      <c r="X50" s="1">
        <v>46.248044918923078</v>
      </c>
      <c r="Y50" s="1">
        <f t="shared" ca="1" si="7"/>
        <v>4.796069392366935E-3</v>
      </c>
      <c r="AA50" s="22">
        <f t="shared" ca="1" si="8"/>
        <v>195</v>
      </c>
      <c r="AB50" s="1">
        <f ca="1">_xll.HestonOneOptionPrice($K$5,$K$6,$K$7,$K$8,$K$9,$K$10,$K$11,$AB$34,$AA50,AB$8)</f>
        <v>41.516170000000002</v>
      </c>
      <c r="AC50" s="1">
        <f ca="1">_xll.HestonOneOptionPrice($K$5,$K$6,$K$7,$K$8,$K$9,$K$10,$K$11,$AB$34,$AA50,AC$8)</f>
        <v>113.60307</v>
      </c>
      <c r="AD50" s="1">
        <v>40.871604943999969</v>
      </c>
      <c r="AE50" s="1">
        <v>112.95850094799609</v>
      </c>
      <c r="AF50" s="1">
        <f t="shared" ca="1" si="9"/>
        <v>2.1476732081916888E-2</v>
      </c>
    </row>
    <row r="51" spans="13:32" x14ac:dyDescent="0.35">
      <c r="M51" s="19">
        <f t="shared" ca="1" si="10"/>
        <v>0.27999999999999997</v>
      </c>
      <c r="N51" s="1">
        <f ca="1">_xll.HestonOneOptionPrice($K$5,$K$6,$K$7,$K$8,$M51,$K$10,$K$11,$N$5,$N$6,N$37)</f>
        <v>57.389589999999998</v>
      </c>
      <c r="O51" s="1">
        <f ca="1">_xll.HestonOneOptionPrice($K$5,$K$6,$K$7,$K$8,$M51,$K$10,$K$11,$N$5,$N$6,O$37)</f>
        <v>45.639279999999999</v>
      </c>
      <c r="P51" s="1">
        <v>57.311565771873525</v>
      </c>
      <c r="Q51" s="1">
        <v>45.561256030333077</v>
      </c>
      <c r="R51" s="18">
        <f t="shared" ca="1" si="6"/>
        <v>3.0739115752664958E-3</v>
      </c>
      <c r="T51" s="19">
        <f t="shared" ca="1" si="11"/>
        <v>0.14999999999999994</v>
      </c>
      <c r="U51" s="1">
        <f ca="1">_xll.HestonOneOptionPrice($K$5,$K$6,$K$7,$K$8,$K$9,$T51,$K$11,$N$5,$N$6,U$37)</f>
        <v>58.222270000000002</v>
      </c>
      <c r="V51" s="1">
        <f ca="1">_xll.HestonOneOptionPrice($K$5,$K$6,$K$7,$K$8,$K$9,$T51,$K$11,$N$5,$N$6,V$37)</f>
        <v>46.471960000000003</v>
      </c>
      <c r="W51" s="1">
        <v>58.082808840389035</v>
      </c>
      <c r="X51" s="1">
        <v>46.332499098848587</v>
      </c>
      <c r="Y51" s="1">
        <f t="shared" ca="1" si="7"/>
        <v>5.4110763470242625E-3</v>
      </c>
      <c r="AA51" s="22">
        <f t="shared" ca="1" si="8"/>
        <v>210</v>
      </c>
      <c r="AB51" s="1">
        <f ca="1">_xll.HestonOneOptionPrice($K$5,$K$6,$K$7,$K$8,$K$9,$K$10,$K$11,$AB$34,$AA51,AB$8)</f>
        <v>39.856900000000003</v>
      </c>
      <c r="AC51" s="1">
        <f ca="1">_xll.HestonOneOptionPrice($K$5,$K$6,$K$7,$K$8,$K$9,$K$10,$K$11,$AB$34,$AA51,AC$8)</f>
        <v>125.18125000000001</v>
      </c>
      <c r="AD51" s="1">
        <v>39.077644858974509</v>
      </c>
      <c r="AE51" s="1">
        <v>124.40199440173956</v>
      </c>
      <c r="AF51" s="1">
        <f t="shared" ca="1" si="9"/>
        <v>2.6205212340131134E-2</v>
      </c>
    </row>
    <row r="52" spans="13:32" x14ac:dyDescent="0.35">
      <c r="M52" s="19">
        <f t="shared" ca="1" si="10"/>
        <v>0.3</v>
      </c>
      <c r="N52" s="1">
        <f ca="1">_xll.HestonOneOptionPrice($K$5,$K$6,$K$7,$K$8,$M52,$K$10,$K$11,$N$5,$N$6,N$37)</f>
        <v>57.345219999999998</v>
      </c>
      <c r="O52" s="1">
        <f ca="1">_xll.HestonOneOptionPrice($K$5,$K$6,$K$7,$K$8,$M52,$K$10,$K$11,$N$5,$N$6,O$37)</f>
        <v>45.594909999999999</v>
      </c>
      <c r="P52" s="1">
        <v>57.262441196794214</v>
      </c>
      <c r="Q52" s="1">
        <v>45.512131455253765</v>
      </c>
      <c r="R52" s="18">
        <f t="shared" ca="1" si="6"/>
        <v>3.2644275418843034E-3</v>
      </c>
      <c r="T52" s="19">
        <f t="shared" ca="1" si="11"/>
        <v>0.19999999999999996</v>
      </c>
      <c r="U52" s="1">
        <f ca="1">_xll.HestonOneOptionPrice($K$5,$K$6,$K$7,$K$8,$K$9,$T52,$K$11,$N$5,$N$6,U$37)</f>
        <v>58.326390000000004</v>
      </c>
      <c r="V52" s="1">
        <f ca="1">_xll.HestonOneOptionPrice($K$5,$K$6,$K$7,$K$8,$K$9,$T52,$K$11,$N$5,$N$6,V$37)</f>
        <v>46.576079999999997</v>
      </c>
      <c r="W52" s="1">
        <v>58.167614772484171</v>
      </c>
      <c r="X52" s="1">
        <v>46.417305030943723</v>
      </c>
      <c r="Y52" s="1">
        <f t="shared" ca="1" si="7"/>
        <v>6.1502141894109264E-3</v>
      </c>
      <c r="AA52" s="22">
        <f t="shared" ca="1" si="8"/>
        <v>225</v>
      </c>
      <c r="AB52" s="1">
        <f ca="1">_xll.HestonOneOptionPrice($K$5,$K$6,$K$7,$K$8,$K$9,$K$10,$K$11,$AB$34,$AA52,AB$8)</f>
        <v>38.348860000000002</v>
      </c>
      <c r="AC52" s="1">
        <f ca="1">_xll.HestonOneOptionPrice($K$5,$K$6,$K$7,$K$8,$K$9,$K$10,$K$11,$AB$34,$AA52,AC$8)</f>
        <v>136.91067000000001</v>
      </c>
      <c r="AD52" s="1">
        <v>37.41997925004415</v>
      </c>
      <c r="AE52" s="1">
        <v>135.98178233157813</v>
      </c>
      <c r="AF52" s="1">
        <f t="shared" ca="1" si="9"/>
        <v>3.1654094481061101E-2</v>
      </c>
    </row>
    <row r="53" spans="13:32" x14ac:dyDescent="0.35">
      <c r="M53" s="19">
        <f t="shared" ca="1" si="10"/>
        <v>0.32</v>
      </c>
      <c r="N53" s="1">
        <f ca="1">_xll.HestonOneOptionPrice($K$5,$K$6,$K$7,$K$8,$M53,$K$10,$K$11,$N$5,$N$6,N$37)</f>
        <v>57.300870000000003</v>
      </c>
      <c r="O53" s="1">
        <f ca="1">_xll.HestonOneOptionPrice($K$5,$K$6,$K$7,$K$8,$M53,$K$10,$K$11,$N$5,$N$6,O$37)</f>
        <v>45.550559999999997</v>
      </c>
      <c r="P53" s="1">
        <v>57.212888220403691</v>
      </c>
      <c r="Q53" s="1">
        <v>45.462578478863243</v>
      </c>
      <c r="R53" s="18">
        <f t="shared" ca="1" si="6"/>
        <v>3.4730479605989345E-3</v>
      </c>
      <c r="T53" s="19">
        <f t="shared" ca="1" si="11"/>
        <v>0.24999999999999994</v>
      </c>
      <c r="U53" s="1">
        <f ca="1">_xll.HestonOneOptionPrice($K$5,$K$6,$K$7,$K$8,$K$9,$T53,$K$11,$N$5,$N$6,U$37)</f>
        <v>58.43432</v>
      </c>
      <c r="V53" s="1">
        <f ca="1">_xll.HestonOneOptionPrice($K$5,$K$6,$K$7,$K$8,$K$9,$T53,$K$11,$N$5,$N$6,V$37)</f>
        <v>46.684010000000001</v>
      </c>
      <c r="W53" s="1">
        <v>58.252777779958947</v>
      </c>
      <c r="X53" s="1">
        <v>46.502468038418499</v>
      </c>
      <c r="Y53" s="1">
        <f t="shared" ca="1" si="7"/>
        <v>7.0203770219782208E-3</v>
      </c>
      <c r="AA53" s="22">
        <f t="shared" ca="1" si="8"/>
        <v>240</v>
      </c>
      <c r="AB53" s="1">
        <f ca="1">_xll.HestonOneOptionPrice($K$5,$K$6,$K$7,$K$8,$K$9,$K$10,$K$11,$AB$34,$AA53,AB$8)</f>
        <v>36.97692</v>
      </c>
      <c r="AC53" s="1">
        <f ca="1">_xll.HestonOneOptionPrice($K$5,$K$6,$K$7,$K$8,$K$9,$K$10,$K$11,$AB$34,$AA53,AC$8)</f>
        <v>148.77617000000001</v>
      </c>
      <c r="AD53" s="1">
        <v>35.883147999126777</v>
      </c>
      <c r="AE53" s="1">
        <v>147.68240461942969</v>
      </c>
      <c r="AF53" s="1">
        <f t="shared" ca="1" si="9"/>
        <v>3.7887694825428288E-2</v>
      </c>
    </row>
    <row r="55" spans="13:32" x14ac:dyDescent="0.35">
      <c r="Q55" s="1" t="s">
        <v>44</v>
      </c>
      <c r="R55" s="18">
        <f ca="1">SUM(R38:R53)</f>
        <v>4.139452080048401E-2</v>
      </c>
      <c r="X55" s="1" t="s">
        <v>44</v>
      </c>
      <c r="Y55" s="18">
        <f ca="1">SUM(Y38:Y53)</f>
        <v>6.8221415829608764E-2</v>
      </c>
      <c r="AE55" s="1" t="s">
        <v>44</v>
      </c>
      <c r="AF55" s="18">
        <f ca="1">SUM(AF38:AF53)</f>
        <v>0.63360756839197574</v>
      </c>
    </row>
    <row r="56" spans="13:32" x14ac:dyDescent="0.35">
      <c r="Q56" s="1" t="s">
        <v>45</v>
      </c>
      <c r="R56" s="18">
        <v>0.01</v>
      </c>
      <c r="X56" s="1" t="s">
        <v>45</v>
      </c>
      <c r="Y56" s="18">
        <v>0.01</v>
      </c>
      <c r="AE56" s="1" t="s">
        <v>45</v>
      </c>
      <c r="AF56" s="18">
        <v>1.4999999999999999E-2</v>
      </c>
    </row>
    <row r="58" spans="13:32" x14ac:dyDescent="0.35">
      <c r="Q58" s="1" t="s">
        <v>46</v>
      </c>
      <c r="R58" s="1" t="b">
        <f ca="1">IF(ISNUMBER(R55),R55&lt;R56,FALSE)</f>
        <v>0</v>
      </c>
      <c r="X58" s="1" t="s">
        <v>46</v>
      </c>
      <c r="Y58" s="1" t="b">
        <f ca="1">IF(ISNUMBER(Y55),Y55&lt;Y56,FALSE)</f>
        <v>0</v>
      </c>
      <c r="AE58" s="1" t="s">
        <v>46</v>
      </c>
      <c r="AF58" s="1" t="b">
        <f ca="1">IF(ISNUMBER(AF55),AF55&lt;AF56,FALSE)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S53"/>
  <sheetViews>
    <sheetView workbookViewId="0"/>
  </sheetViews>
  <sheetFormatPr defaultColWidth="9.1796875" defaultRowHeight="14.5" x14ac:dyDescent="0.35"/>
  <cols>
    <col min="1" max="1" width="9.1796875" style="1"/>
    <col min="2" max="2" width="17.1796875" style="1" customWidth="1"/>
    <col min="3" max="3" width="9.81640625" style="1" customWidth="1"/>
    <col min="4" max="4" width="9.1796875" style="1"/>
    <col min="5" max="5" width="10.54296875" style="1" bestFit="1" customWidth="1"/>
    <col min="6" max="7" width="9.1796875" style="1"/>
    <col min="8" max="8" width="15.36328125" style="1" customWidth="1"/>
    <col min="9" max="31" width="9.1796875" style="1"/>
    <col min="32" max="32" width="8.26953125" style="1" customWidth="1"/>
    <col min="33" max="16384" width="9.1796875" style="1"/>
  </cols>
  <sheetData>
    <row r="2" spans="2:19" x14ac:dyDescent="0.35">
      <c r="E2" s="1" t="s">
        <v>71</v>
      </c>
      <c r="F2" s="1">
        <v>0.1</v>
      </c>
    </row>
    <row r="4" spans="2:19" x14ac:dyDescent="0.35">
      <c r="B4" s="2" t="s">
        <v>22</v>
      </c>
      <c r="C4" s="3"/>
      <c r="E4" s="1" t="s">
        <v>8</v>
      </c>
      <c r="F4" s="1" t="s">
        <v>112</v>
      </c>
      <c r="G4" s="1" t="s">
        <v>72</v>
      </c>
      <c r="H4" s="1" t="s">
        <v>29</v>
      </c>
      <c r="I4" s="1" t="s">
        <v>46</v>
      </c>
      <c r="L4" s="1" t="s">
        <v>43</v>
      </c>
    </row>
    <row r="5" spans="2:19" x14ac:dyDescent="0.35">
      <c r="B5" s="6" t="s">
        <v>0</v>
      </c>
      <c r="C5" s="3">
        <v>100</v>
      </c>
      <c r="E5" s="1">
        <v>1</v>
      </c>
      <c r="F5" s="1">
        <f ca="1">_xll.HestonOneOptionPriceMC($C$5,$C$6,$C$7,$C$8,$C$9,$C$10,$C$11,$E5,$M$6,$F$4,$C$13,_xlfn.CEILING.MATH(E5*$C$14))</f>
        <v>13.700499790732591</v>
      </c>
      <c r="G5" s="1">
        <v>14.013508952645237</v>
      </c>
      <c r="H5" s="1">
        <f ca="1">ABS(F5-G5)/G5</f>
        <v>2.2336244474554776E-2</v>
      </c>
      <c r="I5" s="1" t="b">
        <f ca="1">H5&lt;$F$2</f>
        <v>1</v>
      </c>
      <c r="L5" s="1" t="s">
        <v>8</v>
      </c>
      <c r="M5" s="1">
        <v>0.25</v>
      </c>
      <c r="O5" s="1" t="s">
        <v>68</v>
      </c>
      <c r="P5" s="1">
        <f ca="1">_xlfn.CEILING.MATH(C14*M5)</f>
        <v>92</v>
      </c>
    </row>
    <row r="6" spans="2:19" x14ac:dyDescent="0.35">
      <c r="B6" s="7" t="s">
        <v>1</v>
      </c>
      <c r="C6" s="4">
        <v>0.1</v>
      </c>
      <c r="E6" s="1">
        <v>2</v>
      </c>
      <c r="F6" s="1">
        <f ca="1">_xll.HestonOneOptionPriceMC($C$5,$C$6,$C$7,$C$8,$C$9,$C$10,$C$11,$E6,$M$6,$F$4,$C$13,_xlfn.CEILING.MATH(E6*$C$14))</f>
        <v>22.428647849914743</v>
      </c>
      <c r="G6" s="1">
        <v>22.982892502376021</v>
      </c>
      <c r="H6" s="1">
        <f ca="1">ABS(F6-G6)/G6</f>
        <v>2.4115530819455361E-2</v>
      </c>
      <c r="I6" s="1" t="b">
        <f ca="1">H6&lt;$F$2</f>
        <v>1</v>
      </c>
      <c r="L6" s="1" t="s">
        <v>7</v>
      </c>
      <c r="M6" s="1">
        <v>100</v>
      </c>
    </row>
    <row r="7" spans="2:19" x14ac:dyDescent="0.35">
      <c r="B7" s="7" t="s">
        <v>2</v>
      </c>
      <c r="C7" s="4">
        <v>2</v>
      </c>
      <c r="E7" s="1">
        <v>3</v>
      </c>
      <c r="F7" s="1">
        <f ca="1">_xll.HestonOneOptionPriceMC($C$5,$C$6,$C$7,$C$8,$C$9,$C$10,$C$11,$E7,$M$6,$F$4,$C$13,_xlfn.CEILING.MATH(E7*$C$14))</f>
        <v>29.872261493553701</v>
      </c>
      <c r="G7" s="1">
        <v>30.545250740988301</v>
      </c>
      <c r="H7" s="1">
        <f ca="1">ABS(F7-G7)/G7</f>
        <v>2.2032533081534803E-2</v>
      </c>
      <c r="I7" s="1" t="b">
        <f ca="1">H7&lt;$F$2</f>
        <v>1</v>
      </c>
    </row>
    <row r="8" spans="2:19" x14ac:dyDescent="0.35">
      <c r="B8" s="7" t="s">
        <v>3</v>
      </c>
      <c r="C8" s="4">
        <v>0.06</v>
      </c>
      <c r="E8" s="1">
        <v>4</v>
      </c>
      <c r="F8" s="1">
        <f ca="1">_xll.HestonOneOptionPriceMC($C$5,$C$6,$C$7,$C$8,$C$9,$C$10,$C$11,$E8,$M$6,$F$4,$C$13,_xlfn.CEILING.MATH(E8*$C$14))</f>
        <v>36.741286777217191</v>
      </c>
      <c r="G8" s="1">
        <v>37.341681330262006</v>
      </c>
      <c r="H8" s="1">
        <f ca="1">ABS(F8-G8)/G8</f>
        <v>1.6078401712411653E-2</v>
      </c>
      <c r="I8" s="1" t="b">
        <f ca="1">H8&lt;$F$2</f>
        <v>1</v>
      </c>
      <c r="L8" s="1" t="s">
        <v>71</v>
      </c>
      <c r="M8" s="1">
        <v>0.2</v>
      </c>
    </row>
    <row r="9" spans="2:19" x14ac:dyDescent="0.35">
      <c r="B9" s="7" t="s">
        <v>4</v>
      </c>
      <c r="C9" s="20">
        <v>0.4</v>
      </c>
      <c r="L9" s="1" t="s">
        <v>70</v>
      </c>
      <c r="M9" s="1" t="s">
        <v>69</v>
      </c>
      <c r="N9" s="1" t="s">
        <v>112</v>
      </c>
      <c r="O9" s="1" t="s">
        <v>33</v>
      </c>
      <c r="P9" s="1" t="s">
        <v>29</v>
      </c>
      <c r="Q9" s="1" t="s">
        <v>46</v>
      </c>
      <c r="S9" s="21"/>
    </row>
    <row r="10" spans="2:19" x14ac:dyDescent="0.35">
      <c r="B10" s="7" t="s">
        <v>5</v>
      </c>
      <c r="C10" s="4">
        <v>0.5</v>
      </c>
      <c r="L10" s="1" t="s">
        <v>2</v>
      </c>
      <c r="M10" s="1">
        <v>1.5</v>
      </c>
      <c r="N10" s="1">
        <f ca="1">_xll.HestonOneOptionPriceMC($C$5,$C$6,$M10,$C$8,$C$9,$C$10,$C$11,$M$5,$M$6,N$9,$C$13,$P$5)</f>
        <v>5.2468541643784397</v>
      </c>
      <c r="O10" s="1">
        <v>5.3144220796828883</v>
      </c>
      <c r="P10" s="1">
        <f ca="1">ABS(N10-O10)</f>
        <v>6.7567915304448611E-2</v>
      </c>
      <c r="Q10" s="1" t="b">
        <f ca="1">IF(ISNUMBER(P10),P10&lt;$M$8,FALSE)</f>
        <v>1</v>
      </c>
      <c r="S10" s="22"/>
    </row>
    <row r="11" spans="2:19" x14ac:dyDescent="0.35">
      <c r="B11" s="8" t="s">
        <v>6</v>
      </c>
      <c r="C11" s="5">
        <v>0.04</v>
      </c>
      <c r="G11" s="1" t="s">
        <v>73</v>
      </c>
      <c r="H11" s="1">
        <f ca="1">AVERAGE(H5:H9)</f>
        <v>2.1140677521989146E-2</v>
      </c>
      <c r="L11" s="1" t="s">
        <v>3</v>
      </c>
      <c r="M11" s="1">
        <v>0.12</v>
      </c>
      <c r="N11" s="1">
        <f ca="1">_xll.HestonOneOptionPriceMC($C$5,$C$6,$C$7,$M$11,$C$9,$C$10,$C$11,$M$5,$M$6,N$9,$C$13,$P$5)</f>
        <v>5.8760027074073724</v>
      </c>
      <c r="O11" s="1">
        <v>5.992240225697099</v>
      </c>
      <c r="P11" s="1">
        <f ca="1">ABS(N11-O11)</f>
        <v>0.11623751828972662</v>
      </c>
      <c r="Q11" s="1" t="b">
        <f t="shared" ref="Q11:Q12" ca="1" si="0">IF(ISNUMBER(P11),P11&lt;$M$8,FALSE)</f>
        <v>1</v>
      </c>
      <c r="S11" s="22"/>
    </row>
    <row r="12" spans="2:19" x14ac:dyDescent="0.35">
      <c r="G12" s="1" t="s">
        <v>46</v>
      </c>
      <c r="H12" s="1" t="b">
        <f ca="1">IF(ISNUMBER(H11),H11&lt;$F$2,FALSE)</f>
        <v>1</v>
      </c>
      <c r="L12" s="1" t="s">
        <v>5</v>
      </c>
      <c r="M12" s="1">
        <v>-0.5</v>
      </c>
      <c r="N12" s="1">
        <f ca="1">_xll.HestonOneOptionPriceMC($C$5,$C$6,$C$7,$C$8,$C$9,$M$12,$C$11,$M$5,$M$6,N$9,$C$13,$P$5)</f>
        <v>5.4555875297791792</v>
      </c>
      <c r="O12" s="1">
        <v>5.3776208756957109</v>
      </c>
      <c r="P12" s="1">
        <f ca="1">ABS(N12-O12)</f>
        <v>7.7966654083468256E-2</v>
      </c>
      <c r="Q12" s="1" t="b">
        <f t="shared" ca="1" si="0"/>
        <v>1</v>
      </c>
      <c r="S12" s="22"/>
    </row>
    <row r="13" spans="2:19" x14ac:dyDescent="0.35">
      <c r="B13" s="1" t="s">
        <v>66</v>
      </c>
      <c r="C13" s="23">
        <f ca="1">1*10^5</f>
        <v>100000</v>
      </c>
      <c r="L13" s="19"/>
      <c r="S13" s="22"/>
    </row>
    <row r="14" spans="2:19" x14ac:dyDescent="0.35">
      <c r="B14" s="1" t="s">
        <v>67</v>
      </c>
      <c r="C14" s="1">
        <v>365</v>
      </c>
      <c r="L14" s="19"/>
      <c r="S14" s="22"/>
    </row>
    <row r="15" spans="2:19" x14ac:dyDescent="0.35">
      <c r="L15" s="19"/>
      <c r="S15" s="22"/>
    </row>
    <row r="16" spans="2:19" x14ac:dyDescent="0.35">
      <c r="L16" s="19"/>
      <c r="S16" s="22"/>
    </row>
    <row r="17" spans="3:19" x14ac:dyDescent="0.35">
      <c r="C17" s="17"/>
      <c r="L17" s="19"/>
      <c r="S17" s="22"/>
    </row>
    <row r="18" spans="3:19" x14ac:dyDescent="0.35">
      <c r="C18" s="17"/>
      <c r="L18" s="19"/>
      <c r="S18" s="22"/>
    </row>
    <row r="19" spans="3:19" x14ac:dyDescent="0.35">
      <c r="C19" s="17"/>
      <c r="L19" s="19"/>
      <c r="S19" s="22"/>
    </row>
    <row r="20" spans="3:19" x14ac:dyDescent="0.35">
      <c r="C20" s="17"/>
      <c r="L20" s="19"/>
      <c r="S20" s="22"/>
    </row>
    <row r="21" spans="3:19" x14ac:dyDescent="0.35">
      <c r="C21" s="17"/>
      <c r="L21" s="19"/>
      <c r="S21" s="22"/>
    </row>
    <row r="22" spans="3:19" x14ac:dyDescent="0.35">
      <c r="L22" s="19"/>
      <c r="S22" s="22"/>
    </row>
    <row r="23" spans="3:19" x14ac:dyDescent="0.35">
      <c r="L23" s="19"/>
      <c r="S23" s="22"/>
    </row>
    <row r="24" spans="3:19" x14ac:dyDescent="0.35">
      <c r="L24" s="19"/>
      <c r="S24" s="22"/>
    </row>
    <row r="38" spans="5:19" x14ac:dyDescent="0.35">
      <c r="E38" s="18"/>
      <c r="L38" s="18"/>
      <c r="S38" s="21"/>
    </row>
    <row r="39" spans="5:19" x14ac:dyDescent="0.35">
      <c r="E39" s="19"/>
      <c r="L39" s="19"/>
      <c r="S39" s="22"/>
    </row>
    <row r="40" spans="5:19" x14ac:dyDescent="0.35">
      <c r="E40" s="19"/>
      <c r="L40" s="19"/>
      <c r="S40" s="22"/>
    </row>
    <row r="41" spans="5:19" x14ac:dyDescent="0.35">
      <c r="E41" s="19"/>
      <c r="L41" s="19"/>
      <c r="S41" s="22"/>
    </row>
    <row r="42" spans="5:19" x14ac:dyDescent="0.35">
      <c r="E42" s="19"/>
      <c r="L42" s="19"/>
      <c r="S42" s="22"/>
    </row>
    <row r="43" spans="5:19" x14ac:dyDescent="0.35">
      <c r="E43" s="19"/>
      <c r="L43" s="19"/>
      <c r="S43" s="22"/>
    </row>
    <row r="44" spans="5:19" x14ac:dyDescent="0.35">
      <c r="E44" s="19"/>
      <c r="L44" s="19"/>
      <c r="S44" s="22"/>
    </row>
    <row r="45" spans="5:19" x14ac:dyDescent="0.35">
      <c r="E45" s="19"/>
      <c r="L45" s="19"/>
      <c r="S45" s="22"/>
    </row>
    <row r="46" spans="5:19" x14ac:dyDescent="0.35">
      <c r="E46" s="19"/>
      <c r="L46" s="19"/>
      <c r="S46" s="22"/>
    </row>
    <row r="47" spans="5:19" x14ac:dyDescent="0.35">
      <c r="E47" s="19"/>
      <c r="L47" s="19"/>
      <c r="S47" s="22"/>
    </row>
    <row r="48" spans="5:19" x14ac:dyDescent="0.35">
      <c r="E48" s="19"/>
      <c r="L48" s="19"/>
      <c r="S48" s="22"/>
    </row>
    <row r="49" spans="5:19" x14ac:dyDescent="0.35">
      <c r="E49" s="19"/>
      <c r="L49" s="19"/>
      <c r="S49" s="22"/>
    </row>
    <row r="50" spans="5:19" x14ac:dyDescent="0.35">
      <c r="E50" s="19"/>
      <c r="L50" s="19"/>
      <c r="S50" s="22"/>
    </row>
    <row r="51" spans="5:19" x14ac:dyDescent="0.35">
      <c r="E51" s="19"/>
      <c r="L51" s="19"/>
      <c r="S51" s="22"/>
    </row>
    <row r="52" spans="5:19" x14ac:dyDescent="0.35">
      <c r="E52" s="19"/>
      <c r="L52" s="19"/>
      <c r="S52" s="22"/>
    </row>
    <row r="53" spans="5:19" x14ac:dyDescent="0.35">
      <c r="E53" s="19"/>
      <c r="L53" s="19"/>
      <c r="S53" s="2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T40"/>
  <sheetViews>
    <sheetView workbookViewId="0">
      <selection activeCell="N25" sqref="N25"/>
    </sheetView>
  </sheetViews>
  <sheetFormatPr defaultColWidth="9.1796875" defaultRowHeight="14.5" x14ac:dyDescent="0.35"/>
  <cols>
    <col min="1" max="5" width="9.1796875" style="1"/>
    <col min="6" max="6" width="14.08984375" style="1" bestFit="1" customWidth="1"/>
    <col min="7" max="9" width="9.1796875" style="1"/>
    <col min="10" max="10" width="16.81640625" style="1" customWidth="1"/>
    <col min="11" max="11" width="12.7265625" style="1" bestFit="1" customWidth="1"/>
    <col min="12" max="12" width="9.1796875" style="1"/>
    <col min="13" max="13" width="11.81640625" style="1" bestFit="1" customWidth="1"/>
    <col min="14" max="15" width="9.1796875" style="1"/>
    <col min="16" max="16" width="12.453125" style="1" bestFit="1" customWidth="1"/>
    <col min="17" max="18" width="9.1796875" style="1"/>
    <col min="19" max="19" width="12.26953125" style="1" bestFit="1" customWidth="1"/>
    <col min="20" max="20" width="12" style="1" bestFit="1" customWidth="1"/>
    <col min="21" max="21" width="11.81640625" style="1" bestFit="1" customWidth="1"/>
    <col min="22" max="16384" width="9.1796875" style="1"/>
  </cols>
  <sheetData>
    <row r="3" spans="2:20" x14ac:dyDescent="0.35">
      <c r="J3" s="1" t="s">
        <v>15</v>
      </c>
    </row>
    <row r="4" spans="2:20" x14ac:dyDescent="0.35">
      <c r="B4" s="11" t="s">
        <v>13</v>
      </c>
      <c r="C4" s="11"/>
      <c r="F4" s="1" t="s">
        <v>14</v>
      </c>
      <c r="J4" s="1" t="s">
        <v>7</v>
      </c>
      <c r="K4" s="1" t="s">
        <v>8</v>
      </c>
      <c r="L4" s="1" t="s">
        <v>9</v>
      </c>
      <c r="M4" s="1" t="s">
        <v>16</v>
      </c>
      <c r="S4" s="1" t="s">
        <v>17</v>
      </c>
      <c r="T4" s="1" t="s">
        <v>18</v>
      </c>
    </row>
    <row r="5" spans="2:20" x14ac:dyDescent="0.35">
      <c r="B5" s="11" t="s">
        <v>2</v>
      </c>
      <c r="C5" s="11">
        <v>2.1</v>
      </c>
      <c r="F5" s="11" t="s">
        <v>0</v>
      </c>
      <c r="G5" s="11">
        <v>100</v>
      </c>
      <c r="J5" s="1">
        <v>80</v>
      </c>
      <c r="K5" s="1">
        <v>1</v>
      </c>
      <c r="L5" s="1" t="s">
        <v>112</v>
      </c>
      <c r="M5" s="1">
        <v>35.011485720023806</v>
      </c>
      <c r="O5" s="1" t="s">
        <v>12</v>
      </c>
      <c r="P5" s="1">
        <f ca="1">OFFSET($K$11,MATCH(O5,$J$11:$J$15,0)-1,0)</f>
        <v>0</v>
      </c>
      <c r="S5" s="1" t="str">
        <f ca="1">_xll.HestonOneOptionPrice($G$5,$G$6,$P$5,$P$6,$P$7,$P$8,$P$9,K5,J5,L5)</f>
        <v>HestonOneOptionPrice: unknown error: One or more errors occurred.</v>
      </c>
      <c r="T5" s="18" t="e">
        <f ca="1">ABS(S5/M5-1)</f>
        <v>#VALUE!</v>
      </c>
    </row>
    <row r="6" spans="2:20" x14ac:dyDescent="0.35">
      <c r="B6" s="11" t="s">
        <v>3</v>
      </c>
      <c r="C6" s="11">
        <v>0.1</v>
      </c>
      <c r="F6" s="11" t="s">
        <v>1</v>
      </c>
      <c r="G6" s="11">
        <v>2.5000000000000001E-2</v>
      </c>
      <c r="J6" s="1">
        <v>90</v>
      </c>
      <c r="K6" s="1">
        <v>1</v>
      </c>
      <c r="L6" s="1" t="s">
        <v>112</v>
      </c>
      <c r="M6" s="1">
        <v>29.972873685744595</v>
      </c>
      <c r="O6" s="1" t="s">
        <v>54</v>
      </c>
      <c r="P6" s="1">
        <f ca="1">OFFSET($K$11,MATCH(O6,$J$11:$J$15,0)-1,0)</f>
        <v>0</v>
      </c>
      <c r="S6" s="1" t="str">
        <f ca="1">_xll.HestonOneOptionPrice($G$5,$G$6,$P$5,$P$6,$P$7,$P$8,$P$9,K6,J6,L6)</f>
        <v>HestonOneOptionPrice: unknown error: One or more errors occurred.</v>
      </c>
      <c r="T6" s="18" t="e">
        <f t="shared" ref="T6:T9" ca="1" si="0">ABS(S6/M6-1)</f>
        <v>#VALUE!</v>
      </c>
    </row>
    <row r="7" spans="2:20" x14ac:dyDescent="0.35">
      <c r="B7" s="11" t="s">
        <v>4</v>
      </c>
      <c r="C7" s="11">
        <v>0.4</v>
      </c>
      <c r="J7" s="1">
        <v>80</v>
      </c>
      <c r="K7" s="1">
        <v>2</v>
      </c>
      <c r="L7" s="1" t="s">
        <v>112</v>
      </c>
      <c r="M7" s="1">
        <v>38.090664274437977</v>
      </c>
      <c r="O7" s="1" t="s">
        <v>99</v>
      </c>
      <c r="P7" s="1">
        <f ca="1">OFFSET($K$11,MATCH(O7,$J$11:$J$15,0)-1,0)</f>
        <v>0</v>
      </c>
      <c r="S7" s="1" t="str">
        <f ca="1">_xll.HestonOneOptionPrice($G$5,$G$6,$P$5,$P$6,$P$7,$P$8,$P$9,K7,J7,L7)</f>
        <v>HestonOneOptionPrice: unknown error: One or more errors occurred.</v>
      </c>
      <c r="T7" s="18" t="e">
        <f t="shared" ca="1" si="0"/>
        <v>#VALUE!</v>
      </c>
    </row>
    <row r="8" spans="2:20" x14ac:dyDescent="0.35">
      <c r="B8" s="11" t="s">
        <v>5</v>
      </c>
      <c r="C8" s="11">
        <v>0</v>
      </c>
      <c r="J8" s="1">
        <v>100</v>
      </c>
      <c r="K8" s="1">
        <v>2</v>
      </c>
      <c r="L8" s="1" t="s">
        <v>113</v>
      </c>
      <c r="M8" s="1">
        <v>24.081148393618065</v>
      </c>
      <c r="O8" s="1" t="s">
        <v>100</v>
      </c>
      <c r="P8" s="1">
        <f ca="1">OFFSET($K$11,MATCH(O8,$J$11:$J$15,0)-1,0)</f>
        <v>0</v>
      </c>
      <c r="S8" s="1" t="str">
        <f ca="1">_xll.HestonOneOptionPrice($G$5,$G$6,$P$5,$P$6,$P$7,$P$8,$P$9,K8,J8,L8)</f>
        <v>HestonOneOptionPrice: unknown error: One or more errors occurred.</v>
      </c>
      <c r="T8" s="18" t="e">
        <f t="shared" ca="1" si="0"/>
        <v>#VALUE!</v>
      </c>
    </row>
    <row r="9" spans="2:20" x14ac:dyDescent="0.35">
      <c r="B9" s="11" t="s">
        <v>6</v>
      </c>
      <c r="C9" s="11">
        <v>0.1</v>
      </c>
      <c r="J9" s="1">
        <v>100</v>
      </c>
      <c r="K9" s="1">
        <v>1.5</v>
      </c>
      <c r="L9" s="1" t="s">
        <v>112</v>
      </c>
      <c r="M9" s="1">
        <v>27.581517947273092</v>
      </c>
      <c r="O9" s="1" t="s">
        <v>6</v>
      </c>
      <c r="P9" s="1">
        <f ca="1">OFFSET($K$11,MATCH(O9,$J$11:$J$15,0)-1,0)</f>
        <v>0</v>
      </c>
      <c r="S9" s="1" t="str">
        <f ca="1">_xll.HestonOneOptionPrice($G$5,$G$6,$P$5,$P$6,$P$7,$P$8,$P$9,K9,J9,L9)</f>
        <v>HestonOneOptionPrice: unknown error: One or more errors occurred.</v>
      </c>
      <c r="T9" s="18" t="e">
        <f t="shared" ca="1" si="0"/>
        <v>#VALUE!</v>
      </c>
    </row>
    <row r="10" spans="2:20" x14ac:dyDescent="0.35">
      <c r="T10" s="21"/>
    </row>
    <row r="11" spans="2:20" x14ac:dyDescent="0.35">
      <c r="J11" s="1" t="str">
        <f t="array" aca="1" ref="J11:K17" ca="1">_xll.CalibrateHestonParameters(B5:C9,G6,G5,J5:J9,K5:K9,L5:L9,M5:M9,C13,C12)</f>
        <v>Kappa</v>
      </c>
      <c r="K11" s="1">
        <f ca="1"/>
        <v>0</v>
      </c>
      <c r="L11" s="1">
        <v>2</v>
      </c>
      <c r="S11" s="1" t="s">
        <v>102</v>
      </c>
      <c r="T11" s="33" t="e">
        <f ca="1">AVERAGE(T5:T9)</f>
        <v>#VALUE!</v>
      </c>
    </row>
    <row r="12" spans="2:20" x14ac:dyDescent="0.35">
      <c r="B12" s="1" t="s">
        <v>94</v>
      </c>
      <c r="C12" s="1">
        <v>1000</v>
      </c>
      <c r="J12" s="1" t="str">
        <f ca="1"/>
        <v>Theta</v>
      </c>
      <c r="K12" s="1">
        <f ca="1"/>
        <v>0</v>
      </c>
      <c r="L12" s="1">
        <v>0.05</v>
      </c>
    </row>
    <row r="13" spans="2:20" x14ac:dyDescent="0.35">
      <c r="B13" s="1" t="s">
        <v>95</v>
      </c>
      <c r="C13" s="1">
        <v>0.01</v>
      </c>
      <c r="J13" s="1" t="str">
        <f ca="1"/>
        <v>Sigma</v>
      </c>
      <c r="K13" s="1">
        <f ca="1"/>
        <v>0</v>
      </c>
      <c r="L13" s="1">
        <v>0.5</v>
      </c>
      <c r="S13" s="1" t="s">
        <v>71</v>
      </c>
      <c r="T13" s="31">
        <v>0.05</v>
      </c>
    </row>
    <row r="14" spans="2:20" x14ac:dyDescent="0.35">
      <c r="J14" s="1" t="str">
        <f ca="1"/>
        <v>Rho</v>
      </c>
      <c r="K14" s="1">
        <f ca="1"/>
        <v>0</v>
      </c>
      <c r="L14" s="1">
        <v>-0.5</v>
      </c>
      <c r="S14" s="1" t="s">
        <v>46</v>
      </c>
      <c r="T14" s="1" t="b">
        <f ca="1">IF(ISNUMBER(T11),T11&lt;T13,FALSE)</f>
        <v>0</v>
      </c>
    </row>
    <row r="15" spans="2:20" x14ac:dyDescent="0.35">
      <c r="J15" s="1" t="str">
        <f ca="1"/>
        <v>v0</v>
      </c>
      <c r="K15" s="1">
        <f ca="1"/>
        <v>0</v>
      </c>
      <c r="L15" s="1">
        <v>0.9</v>
      </c>
    </row>
    <row r="16" spans="2:20" x14ac:dyDescent="0.35">
      <c r="J16" s="1" t="str">
        <f ca="1"/>
        <v>Minimizer Status</v>
      </c>
      <c r="K16" s="1" t="str">
        <f ca="1"/>
        <v>OK</v>
      </c>
    </row>
    <row r="17" spans="10:20" x14ac:dyDescent="0.35">
      <c r="J17" s="1" t="str">
        <f ca="1"/>
        <v>Pricing error</v>
      </c>
      <c r="K17" s="33">
        <f ca="1"/>
        <v>101555.833506902</v>
      </c>
    </row>
    <row r="26" spans="10:20" x14ac:dyDescent="0.35">
      <c r="J26" s="1" t="s">
        <v>15</v>
      </c>
    </row>
    <row r="27" spans="10:20" x14ac:dyDescent="0.35">
      <c r="J27" s="1" t="s">
        <v>7</v>
      </c>
      <c r="K27" s="1" t="s">
        <v>8</v>
      </c>
      <c r="L27" s="1" t="s">
        <v>9</v>
      </c>
      <c r="M27" s="1" t="s">
        <v>16</v>
      </c>
      <c r="S27" s="1" t="s">
        <v>17</v>
      </c>
      <c r="T27" s="1" t="s">
        <v>18</v>
      </c>
    </row>
    <row r="28" spans="10:20" x14ac:dyDescent="0.35">
      <c r="J28" s="1">
        <v>80</v>
      </c>
      <c r="K28" s="1">
        <v>1</v>
      </c>
      <c r="L28" s="1" t="s">
        <v>112</v>
      </c>
      <c r="M28" s="1">
        <f ca="1">_xll.HestonOneOptionPrice($G$5,$G$6,$C$5,$C$6,$C$7,$C$8,$C$9,K28,J28,L28)</f>
        <v>25.34478</v>
      </c>
      <c r="O28" s="1" t="s">
        <v>12</v>
      </c>
      <c r="P28" s="1">
        <f ca="1">OFFSET($K$34,MATCH(O28,$J$34:$J$38,0)-1,0)</f>
        <v>0</v>
      </c>
      <c r="S28" s="1" t="str">
        <f ca="1">_xll.HestonOneOptionPrice($G$5,$G$6,P$28,P$29,P$30,P$31,P$32,K28,J28,L28)</f>
        <v>HestonOneOptionPrice: unknown error: One or more errors occurred.</v>
      </c>
      <c r="T28" s="18" t="e">
        <f ca="1">ABS(S28/M28-1)</f>
        <v>#VALUE!</v>
      </c>
    </row>
    <row r="29" spans="10:20" x14ac:dyDescent="0.35">
      <c r="J29" s="1">
        <v>90</v>
      </c>
      <c r="K29" s="1">
        <v>1</v>
      </c>
      <c r="L29" s="1" t="s">
        <v>112</v>
      </c>
      <c r="M29" s="1">
        <f ca="1">_xll.HestonOneOptionPrice($G$5,$G$6,$C$5,$C$6,$C$7,$C$8,$C$9,K29,J29,L29)</f>
        <v>18.728860000000001</v>
      </c>
      <c r="O29" s="1" t="s">
        <v>54</v>
      </c>
      <c r="P29" s="1">
        <f ca="1">OFFSET($K$34,MATCH(O29,$J$34:$J$38,0)-1,0)</f>
        <v>0</v>
      </c>
      <c r="S29" s="1" t="str">
        <f ca="1">_xll.HestonOneOptionPrice($G$5,$G$6,P$28,P$29,P$30,P$31,P$32,K29,J29,L29)</f>
        <v>HestonOneOptionPrice: unknown error: One or more errors occurred.</v>
      </c>
      <c r="T29" s="18" t="e">
        <f t="shared" ref="T29:T32" ca="1" si="1">ABS(S29/M29-1)</f>
        <v>#VALUE!</v>
      </c>
    </row>
    <row r="30" spans="10:20" x14ac:dyDescent="0.35">
      <c r="J30" s="1">
        <v>80</v>
      </c>
      <c r="K30" s="1">
        <v>2</v>
      </c>
      <c r="L30" s="1" t="s">
        <v>112</v>
      </c>
      <c r="M30" s="1">
        <f ca="1">_xll.HestonOneOptionPrice($G$5,$G$6,$C$5,$C$6,$C$7,$C$8,$C$9,K30,J30,L30)</f>
        <v>30.162890000000001</v>
      </c>
      <c r="O30" s="1" t="s">
        <v>99</v>
      </c>
      <c r="P30" s="1">
        <f ca="1">OFFSET($K$34,MATCH(O30,$J$34:$J$38,0)-1,0)</f>
        <v>0</v>
      </c>
      <c r="S30" s="1" t="str">
        <f ca="1">_xll.HestonOneOptionPrice($G$5,$G$6,P$28,P$29,P$30,P$31,P$32,K30,J30,L30)</f>
        <v>HestonOneOptionPrice: unknown error: One or more errors occurred.</v>
      </c>
      <c r="T30" s="18" t="e">
        <f ca="1">ABS(S30/M30-1)</f>
        <v>#VALUE!</v>
      </c>
    </row>
    <row r="31" spans="10:20" x14ac:dyDescent="0.35">
      <c r="J31" s="1">
        <v>100</v>
      </c>
      <c r="K31" s="1">
        <v>2</v>
      </c>
      <c r="L31" s="1" t="s">
        <v>113</v>
      </c>
      <c r="M31" s="1">
        <f ca="1">_xll.HestonOneOptionPrice($G$5,$G$6,$C$5,$C$6,$C$7,$C$8,$C$9,K31,J31,L31)</f>
        <v>14.685359999999999</v>
      </c>
      <c r="O31" s="1" t="s">
        <v>100</v>
      </c>
      <c r="P31" s="1">
        <f ca="1">OFFSET($K$34,MATCH(O31,$J$34:$J$38,0)-1,0)</f>
        <v>0</v>
      </c>
      <c r="S31" s="1" t="str">
        <f ca="1">_xll.HestonOneOptionPrice($G$5,$G$6,P$28,P$29,P$30,P$31,P$32,K31,J31,L31)</f>
        <v>HestonOneOptionPrice: unknown error: One or more errors occurred.</v>
      </c>
      <c r="T31" s="18" t="e">
        <f t="shared" ca="1" si="1"/>
        <v>#VALUE!</v>
      </c>
    </row>
    <row r="32" spans="10:20" x14ac:dyDescent="0.35">
      <c r="J32" s="1">
        <v>100</v>
      </c>
      <c r="K32" s="1">
        <v>1.5</v>
      </c>
      <c r="L32" s="1" t="s">
        <v>112</v>
      </c>
      <c r="M32" s="1">
        <f ca="1">_xll.HestonOneOptionPrice($G$5,$G$6,$C$5,$C$6,$C$7,$C$8,$C$9,K32,J32,L32)</f>
        <v>16.742460000000001</v>
      </c>
      <c r="O32" s="1" t="s">
        <v>6</v>
      </c>
      <c r="P32" s="1">
        <f ca="1">OFFSET($K$34,MATCH(O32,$J$34:$J$38,0)-1,0)</f>
        <v>0</v>
      </c>
      <c r="S32" s="1" t="str">
        <f ca="1">_xll.HestonOneOptionPrice($G$5,$G$6,P$28,P$29,P$30,P$31,P$32,K32,J32,L32)</f>
        <v>HestonOneOptionPrice: unknown error: One or more errors occurred.</v>
      </c>
      <c r="T32" s="18" t="e">
        <f t="shared" ca="1" si="1"/>
        <v>#VALUE!</v>
      </c>
    </row>
    <row r="34" spans="10:20" x14ac:dyDescent="0.35">
      <c r="J34" s="1" t="str">
        <f t="array" aca="1" ref="J34:K40" ca="1">_xll.CalibrateHestonParameters(B5:C9,G6,G5,J28:J32,K28:K32,L28:L32,M28:M32,C13,C12)</f>
        <v>Kappa</v>
      </c>
      <c r="K34" s="1">
        <f ca="1"/>
        <v>0</v>
      </c>
      <c r="S34" s="1" t="s">
        <v>73</v>
      </c>
      <c r="T34" s="31" t="e">
        <f ca="1">AVERAGE(T28:T32)</f>
        <v>#VALUE!</v>
      </c>
    </row>
    <row r="35" spans="10:20" x14ac:dyDescent="0.35">
      <c r="J35" s="1" t="str">
        <f ca="1"/>
        <v>Theta</v>
      </c>
      <c r="K35" s="1">
        <f ca="1"/>
        <v>0</v>
      </c>
    </row>
    <row r="36" spans="10:20" x14ac:dyDescent="0.35">
      <c r="J36" s="1" t="str">
        <f ca="1"/>
        <v>Sigma</v>
      </c>
      <c r="K36" s="1">
        <f ca="1"/>
        <v>0</v>
      </c>
      <c r="S36" s="1" t="s">
        <v>71</v>
      </c>
      <c r="T36" s="47">
        <v>0.1</v>
      </c>
    </row>
    <row r="37" spans="10:20" x14ac:dyDescent="0.35">
      <c r="J37" s="1" t="str">
        <f ca="1"/>
        <v>Rho</v>
      </c>
      <c r="K37" s="1">
        <f ca="1"/>
        <v>0</v>
      </c>
      <c r="S37" s="1" t="s">
        <v>46</v>
      </c>
      <c r="T37" s="1" t="b">
        <f ca="1">IF(ISNUMBER(T34),T34&lt;T36,FALSE)</f>
        <v>0</v>
      </c>
    </row>
    <row r="38" spans="10:20" x14ac:dyDescent="0.35">
      <c r="J38" s="1" t="str">
        <f ca="1"/>
        <v>v0</v>
      </c>
      <c r="K38" s="1">
        <f ca="1"/>
        <v>0</v>
      </c>
    </row>
    <row r="39" spans="10:20" x14ac:dyDescent="0.35">
      <c r="J39" s="1" t="str">
        <f ca="1"/>
        <v>Minimizer Status</v>
      </c>
      <c r="K39" s="1" t="str">
        <f ca="1"/>
        <v>OK</v>
      </c>
    </row>
    <row r="40" spans="10:20" x14ac:dyDescent="0.35">
      <c r="J40" s="1" t="str">
        <f ca="1"/>
        <v>Pricing error</v>
      </c>
      <c r="K40" s="29">
        <f ca="1"/>
        <v>116103.71799938008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Q27"/>
  <sheetViews>
    <sheetView workbookViewId="0">
      <selection activeCell="F43" sqref="F43"/>
    </sheetView>
  </sheetViews>
  <sheetFormatPr defaultColWidth="9.1796875" defaultRowHeight="14.5" x14ac:dyDescent="0.35"/>
  <cols>
    <col min="1" max="2" width="9.1796875" style="1"/>
    <col min="3" max="3" width="9.54296875" style="1" bestFit="1" customWidth="1"/>
    <col min="4" max="9" width="9.1796875" style="1"/>
    <col min="10" max="10" width="19.26953125" style="1" customWidth="1"/>
    <col min="11" max="11" width="9.1796875" style="1"/>
    <col min="12" max="12" width="12.26953125" style="1" customWidth="1"/>
    <col min="13" max="13" width="9.54296875" style="1" bestFit="1" customWidth="1"/>
    <col min="14" max="16384" width="9.1796875" style="1"/>
  </cols>
  <sheetData>
    <row r="2" spans="2:17" x14ac:dyDescent="0.35">
      <c r="I2" s="2" t="s">
        <v>47</v>
      </c>
      <c r="J2" s="3"/>
      <c r="L2" s="1" t="s">
        <v>19</v>
      </c>
      <c r="M2" s="12">
        <v>1000000</v>
      </c>
    </row>
    <row r="3" spans="2:17" x14ac:dyDescent="0.35">
      <c r="I3" s="6" t="s">
        <v>0</v>
      </c>
      <c r="J3" s="3">
        <v>100</v>
      </c>
      <c r="L3" s="1" t="s">
        <v>20</v>
      </c>
      <c r="M3" s="1">
        <v>100</v>
      </c>
    </row>
    <row r="4" spans="2:17" x14ac:dyDescent="0.35">
      <c r="B4" s="2" t="s">
        <v>22</v>
      </c>
      <c r="C4" s="3"/>
      <c r="I4" s="7" t="s">
        <v>1</v>
      </c>
      <c r="J4" s="4">
        <v>2.5000000000000001E-2</v>
      </c>
    </row>
    <row r="5" spans="2:17" x14ac:dyDescent="0.35">
      <c r="B5" s="6" t="s">
        <v>0</v>
      </c>
      <c r="C5" s="3">
        <v>100</v>
      </c>
      <c r="I5" s="7" t="s">
        <v>2</v>
      </c>
      <c r="J5" s="4">
        <v>2</v>
      </c>
      <c r="L5" s="1" t="s">
        <v>8</v>
      </c>
      <c r="M5" s="1" t="s">
        <v>21</v>
      </c>
      <c r="N5" s="1" t="s">
        <v>30</v>
      </c>
      <c r="O5" s="1" t="s">
        <v>29</v>
      </c>
    </row>
    <row r="6" spans="2:17" x14ac:dyDescent="0.35">
      <c r="B6" s="7" t="s">
        <v>1</v>
      </c>
      <c r="C6" s="4">
        <v>0.1</v>
      </c>
      <c r="I6" s="7" t="s">
        <v>3</v>
      </c>
      <c r="J6" s="4">
        <v>0.5</v>
      </c>
      <c r="L6" s="1">
        <v>1</v>
      </c>
      <c r="M6" s="13">
        <f ca="1">_xll.HestonLookbackOptionPriceMC($J$3,$J$4,$J$5,$J$6,$J$7,$J$8,$J$9,L6,$M$2,$M$3)</f>
        <v>36.840228667672243</v>
      </c>
      <c r="N6" s="13">
        <v>36.067906596868077</v>
      </c>
      <c r="O6" s="18">
        <f ca="1">ABS(N6-M6)/N6</f>
        <v>2.1412999635283213E-2</v>
      </c>
    </row>
    <row r="7" spans="2:17" x14ac:dyDescent="0.35">
      <c r="B7" s="7" t="s">
        <v>2</v>
      </c>
      <c r="C7" s="4">
        <v>2</v>
      </c>
      <c r="I7" s="7" t="s">
        <v>4</v>
      </c>
      <c r="J7" s="4">
        <v>0.4</v>
      </c>
      <c r="L7" s="1">
        <v>5</v>
      </c>
      <c r="M7" s="13">
        <f ca="1">_xll.HestonLookbackOptionPriceMC($J$3,$J$4,$J$5,$J$6,$J$7,$J$8,$J$9,L7,$M$2,$M$3)</f>
        <v>74.050764022733134</v>
      </c>
      <c r="N7" s="13">
        <v>72.741020287887608</v>
      </c>
      <c r="O7" s="18">
        <f ca="1">ABS(N7-M7)/N7</f>
        <v>1.80055727794571E-2</v>
      </c>
    </row>
    <row r="8" spans="2:17" x14ac:dyDescent="0.35">
      <c r="B8" s="7" t="s">
        <v>3</v>
      </c>
      <c r="C8" s="4">
        <v>0.06</v>
      </c>
      <c r="I8" s="7" t="s">
        <v>5</v>
      </c>
      <c r="J8" s="4">
        <v>-0.5</v>
      </c>
      <c r="N8" s="13"/>
      <c r="O8" s="17"/>
    </row>
    <row r="9" spans="2:17" x14ac:dyDescent="0.35">
      <c r="B9" s="7" t="s">
        <v>4</v>
      </c>
      <c r="C9" s="4">
        <v>0.4</v>
      </c>
      <c r="I9" s="8" t="s">
        <v>6</v>
      </c>
      <c r="J9" s="5">
        <v>0.1</v>
      </c>
      <c r="L9" s="1" t="s">
        <v>73</v>
      </c>
      <c r="M9" s="18">
        <f ca="1">AVERAGE(O6:O7)</f>
        <v>1.9709286207370155E-2</v>
      </c>
      <c r="N9" s="13"/>
      <c r="O9" s="17"/>
    </row>
    <row r="10" spans="2:17" x14ac:dyDescent="0.35">
      <c r="B10" s="7" t="s">
        <v>5</v>
      </c>
      <c r="C10" s="4">
        <v>0.5</v>
      </c>
      <c r="L10" s="1" t="s">
        <v>46</v>
      </c>
      <c r="M10" s="1" t="b">
        <f ca="1">M9&lt;C25</f>
        <v>1</v>
      </c>
      <c r="N10" s="13"/>
      <c r="O10" s="17"/>
    </row>
    <row r="11" spans="2:17" x14ac:dyDescent="0.35">
      <c r="B11" s="8" t="s">
        <v>6</v>
      </c>
      <c r="C11" s="5">
        <v>0.04</v>
      </c>
      <c r="N11" s="13"/>
      <c r="O11" s="17"/>
    </row>
    <row r="12" spans="2:17" x14ac:dyDescent="0.35">
      <c r="L12" s="1" t="s">
        <v>8</v>
      </c>
      <c r="M12" s="1">
        <v>0.2</v>
      </c>
    </row>
    <row r="13" spans="2:17" x14ac:dyDescent="0.35">
      <c r="B13" s="1" t="s">
        <v>23</v>
      </c>
      <c r="C13" s="1" t="b">
        <f ca="1">(2*C7*C8&gt;C9*C9)</f>
        <v>1</v>
      </c>
    </row>
    <row r="14" spans="2:17" x14ac:dyDescent="0.35">
      <c r="B14" s="1" t="s">
        <v>19</v>
      </c>
      <c r="C14" s="12">
        <f ca="1">10^5</f>
        <v>100000</v>
      </c>
    </row>
    <row r="15" spans="2:17" x14ac:dyDescent="0.35">
      <c r="B15" s="1" t="s">
        <v>27</v>
      </c>
      <c r="C15" s="1">
        <v>365</v>
      </c>
      <c r="L15" s="1" t="s">
        <v>70</v>
      </c>
      <c r="M15" s="1" t="s">
        <v>69</v>
      </c>
      <c r="N15" s="1" t="s">
        <v>78</v>
      </c>
      <c r="O15" s="1" t="s">
        <v>30</v>
      </c>
      <c r="P15" s="1" t="s">
        <v>29</v>
      </c>
      <c r="Q15" s="1" t="s">
        <v>46</v>
      </c>
    </row>
    <row r="16" spans="2:17" x14ac:dyDescent="0.35">
      <c r="L16" s="1" t="s">
        <v>2</v>
      </c>
      <c r="M16" s="1">
        <v>1.5</v>
      </c>
      <c r="N16" s="24">
        <f ca="1">_xll.HestonLookbackOptionPriceMC($J$3,$J$4,$M$16,$J$6,$J$7,$J$8,$J$9,$M$12,$M$2,$M$3)</f>
        <v>12.722110354758719</v>
      </c>
      <c r="O16" s="1">
        <v>12.473217487003748</v>
      </c>
      <c r="P16" s="18">
        <f ca="1">ABS(N16-O16)/O16</f>
        <v>1.995418327422745E-2</v>
      </c>
      <c r="Q16" s="1" t="b">
        <f ca="1">IF(ISNUMBER(P16),P16&lt;$C$25,FALSE)</f>
        <v>1</v>
      </c>
    </row>
    <row r="17" spans="2:17" x14ac:dyDescent="0.35">
      <c r="B17" t="s">
        <v>24</v>
      </c>
      <c r="L17" s="1" t="s">
        <v>3</v>
      </c>
      <c r="M17" s="1">
        <v>0.12</v>
      </c>
      <c r="N17" s="24">
        <f ca="1">_xll.HestonLookbackOptionPriceMC($J$3,$J$4,$J$5,$M$17,$J$7,$J$8,$J$9,$M$12,$M$2,$M$3)</f>
        <v>10.660073689439058</v>
      </c>
      <c r="O17" s="1">
        <v>10.367837985743282</v>
      </c>
      <c r="P17" s="18">
        <f ca="1">ABS(N17-O17)/O17</f>
        <v>2.8186754470664554E-2</v>
      </c>
      <c r="Q17" s="1" t="b">
        <f t="shared" ref="Q17:Q18" ca="1" si="0">IF(ISNUMBER(P17),P17&lt;$C$25,FALSE)</f>
        <v>1</v>
      </c>
    </row>
    <row r="18" spans="2:17" x14ac:dyDescent="0.35">
      <c r="B18" s="1" t="s">
        <v>25</v>
      </c>
      <c r="C18" s="1" t="s">
        <v>26</v>
      </c>
      <c r="D18" s="1" t="s">
        <v>28</v>
      </c>
      <c r="E18" s="1" t="s">
        <v>29</v>
      </c>
      <c r="L18" s="1" t="s">
        <v>82</v>
      </c>
      <c r="M18" s="1">
        <v>1</v>
      </c>
      <c r="N18" s="24">
        <f ca="1">_xll.HestonLookbackOptionPriceMC($M$18,$J$4,$J$5,$J$6,$J$7,$J$8,$J$9,$M$12,$M$2,$M$3)</f>
        <v>0.13321547554045801</v>
      </c>
      <c r="O18" s="1">
        <v>0.13088719159328041</v>
      </c>
      <c r="P18" s="18">
        <f ca="1">ABS(N18-O18)/O18</f>
        <v>1.7788478145459207E-2</v>
      </c>
      <c r="Q18" s="1" t="b">
        <f t="shared" ca="1" si="0"/>
        <v>1</v>
      </c>
    </row>
    <row r="19" spans="2:17" x14ac:dyDescent="0.35">
      <c r="B19" s="1">
        <v>1</v>
      </c>
      <c r="C19" s="13">
        <f ca="1">_xll.HestonLookbackOptionPriceMC($C$5,$C$6,$C$7,$C$8,$C$9,$C$10,$C$11,B19,$C$14,$C$15*B19)</f>
        <v>19.175149495833217</v>
      </c>
      <c r="D19" s="13">
        <v>20.210579462038407</v>
      </c>
      <c r="E19" s="18">
        <f ca="1">ABS(D19-C19)/D19</f>
        <v>5.1232077148012534E-2</v>
      </c>
      <c r="M19" s="13"/>
      <c r="N19" s="24"/>
      <c r="O19" s="17"/>
      <c r="P19" s="18"/>
    </row>
    <row r="20" spans="2:17" x14ac:dyDescent="0.35">
      <c r="B20" s="1">
        <v>3</v>
      </c>
      <c r="C20" s="13">
        <f ca="1">_xll.HestonLookbackOptionPriceMC($C$5,$C$6,$C$7,$C$8,$C$9,$C$10,$C$11,B20,$C$14,$C$15*B20)</f>
        <v>37.787644519007515</v>
      </c>
      <c r="D20" s="13">
        <v>39.419617622963102</v>
      </c>
      <c r="E20" s="18">
        <f t="shared" ref="E20:E23" ca="1" si="1">ABS(D20-C20)/D20</f>
        <v>4.1400023703043597E-2</v>
      </c>
      <c r="M20" s="13"/>
      <c r="N20" s="13"/>
      <c r="O20" s="17"/>
    </row>
    <row r="21" spans="2:17" x14ac:dyDescent="0.35">
      <c r="B21" s="1">
        <v>5</v>
      </c>
      <c r="C21" s="13">
        <f ca="1">_xll.HestonLookbackOptionPriceMC($C$5,$C$6,$C$7,$C$8,$C$9,$C$10,$C$11,B21,$C$14,$C$15*B21)</f>
        <v>50.158622823064412</v>
      </c>
      <c r="D21" s="13">
        <v>52.269138433348225</v>
      </c>
      <c r="E21" s="18">
        <f t="shared" ca="1" si="1"/>
        <v>4.0377853424446011E-2</v>
      </c>
      <c r="M21" s="13"/>
      <c r="N21" s="13"/>
      <c r="O21" s="17"/>
    </row>
    <row r="22" spans="2:17" x14ac:dyDescent="0.35">
      <c r="B22" s="1">
        <v>7</v>
      </c>
      <c r="C22" s="13">
        <f ca="1">_xll.HestonLookbackOptionPriceMC($C$5,$C$6,$C$7,$C$8,$C$9,$C$10,$C$11,B22,$C$14,$C$15*B22)</f>
        <v>60.891572378856239</v>
      </c>
      <c r="D22" s="13">
        <v>61.74424371783379</v>
      </c>
      <c r="E22" s="18">
        <f t="shared" ca="1" si="1"/>
        <v>1.3809730067699753E-2</v>
      </c>
      <c r="M22" s="13"/>
      <c r="N22" s="13"/>
      <c r="O22" s="17"/>
    </row>
    <row r="23" spans="2:17" x14ac:dyDescent="0.35">
      <c r="B23" s="1">
        <v>9</v>
      </c>
      <c r="C23" s="13">
        <f ca="1">_xll.HestonLookbackOptionPriceMC($C$5,$C$6,$C$7,$C$8,$C$9,$C$10,$C$11,B23,$C$14,$C$15*B23)</f>
        <v>67.318899980026757</v>
      </c>
      <c r="D23" s="13">
        <v>69.0298399062291</v>
      </c>
      <c r="E23" s="18">
        <f t="shared" ca="1" si="1"/>
        <v>2.4785512012290668E-2</v>
      </c>
      <c r="M23" s="13"/>
      <c r="N23" s="13"/>
      <c r="O23" s="17"/>
    </row>
    <row r="24" spans="2:17" x14ac:dyDescent="0.35">
      <c r="M24" s="13"/>
      <c r="N24" s="13"/>
      <c r="O24" s="17"/>
    </row>
    <row r="25" spans="2:17" x14ac:dyDescent="0.35">
      <c r="B25" s="1" t="s">
        <v>80</v>
      </c>
      <c r="C25" s="18">
        <v>0.05</v>
      </c>
      <c r="M25" s="13"/>
      <c r="N25" s="13"/>
      <c r="O25" s="17"/>
    </row>
    <row r="26" spans="2:17" x14ac:dyDescent="0.35">
      <c r="B26" s="1" t="s">
        <v>73</v>
      </c>
      <c r="C26" s="18">
        <f ca="1">AVERAGE(E19:E23)</f>
        <v>3.4321039271098516E-2</v>
      </c>
    </row>
    <row r="27" spans="2:17" x14ac:dyDescent="0.35">
      <c r="B27" s="1" t="s">
        <v>46</v>
      </c>
      <c r="C27" s="1" t="b">
        <f ca="1">IF(ISNUMBER(C26),C26&lt;C25,FALSE)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P391"/>
  <sheetViews>
    <sheetView workbookViewId="0">
      <selection activeCell="H22" sqref="H22"/>
    </sheetView>
  </sheetViews>
  <sheetFormatPr defaultColWidth="9.1796875" defaultRowHeight="14.5" x14ac:dyDescent="0.35"/>
  <cols>
    <col min="1" max="2" width="9.1796875" style="1"/>
    <col min="3" max="3" width="9.54296875" style="1" bestFit="1" customWidth="1"/>
    <col min="4" max="12" width="9.1796875" style="1"/>
    <col min="13" max="13" width="9.54296875" style="1" bestFit="1" customWidth="1"/>
    <col min="14" max="16384" width="9.1796875" style="1"/>
  </cols>
  <sheetData>
    <row r="2" spans="2:16" x14ac:dyDescent="0.35">
      <c r="B2" s="2" t="s">
        <v>22</v>
      </c>
      <c r="C2" s="3"/>
      <c r="I2" s="2" t="s">
        <v>11</v>
      </c>
      <c r="J2" s="3"/>
      <c r="O2" s="1" t="s">
        <v>41</v>
      </c>
    </row>
    <row r="3" spans="2:16" x14ac:dyDescent="0.35">
      <c r="B3" s="6" t="s">
        <v>0</v>
      </c>
      <c r="C3" s="3">
        <v>100</v>
      </c>
      <c r="I3" s="6" t="s">
        <v>0</v>
      </c>
      <c r="J3" s="3">
        <v>100</v>
      </c>
      <c r="N3" s="12"/>
      <c r="O3" s="1">
        <v>0.05</v>
      </c>
    </row>
    <row r="4" spans="2:16" x14ac:dyDescent="0.35">
      <c r="B4" s="7" t="s">
        <v>1</v>
      </c>
      <c r="C4" s="4">
        <v>0.1</v>
      </c>
      <c r="I4" s="7" t="s">
        <v>1</v>
      </c>
      <c r="J4" s="4">
        <v>2.5000000000000001E-2</v>
      </c>
      <c r="O4" s="1">
        <v>0.1</v>
      </c>
    </row>
    <row r="5" spans="2:16" x14ac:dyDescent="0.35">
      <c r="B5" s="7" t="s">
        <v>2</v>
      </c>
      <c r="C5" s="4">
        <v>2</v>
      </c>
      <c r="I5" s="7" t="s">
        <v>2</v>
      </c>
      <c r="J5" s="4">
        <v>2</v>
      </c>
      <c r="O5" s="1">
        <v>0.15</v>
      </c>
    </row>
    <row r="6" spans="2:16" x14ac:dyDescent="0.35">
      <c r="B6" s="7" t="s">
        <v>3</v>
      </c>
      <c r="C6" s="4">
        <v>0.06</v>
      </c>
      <c r="I6" s="7" t="s">
        <v>3</v>
      </c>
      <c r="J6" s="4">
        <v>0.5</v>
      </c>
      <c r="M6" s="1" t="s">
        <v>8</v>
      </c>
      <c r="O6" s="1">
        <v>0.2</v>
      </c>
    </row>
    <row r="7" spans="2:16" x14ac:dyDescent="0.35">
      <c r="B7" s="7" t="s">
        <v>4</v>
      </c>
      <c r="C7" s="4">
        <v>0.4</v>
      </c>
      <c r="I7" s="7" t="s">
        <v>4</v>
      </c>
      <c r="J7" s="4">
        <v>0.4</v>
      </c>
      <c r="M7" s="1">
        <v>0.25</v>
      </c>
      <c r="N7" s="14"/>
      <c r="O7" s="1">
        <v>0.25</v>
      </c>
      <c r="P7" s="14"/>
    </row>
    <row r="8" spans="2:16" x14ac:dyDescent="0.35">
      <c r="B8" s="7" t="s">
        <v>5</v>
      </c>
      <c r="C8" s="4">
        <v>0.5</v>
      </c>
      <c r="I8" s="7" t="s">
        <v>5</v>
      </c>
      <c r="J8" s="4">
        <v>-0.5</v>
      </c>
      <c r="N8" s="14"/>
      <c r="O8" s="14"/>
      <c r="P8" s="14"/>
    </row>
    <row r="9" spans="2:16" x14ac:dyDescent="0.35">
      <c r="B9" s="8" t="s">
        <v>6</v>
      </c>
      <c r="C9" s="5">
        <v>0.04</v>
      </c>
      <c r="I9" s="8" t="s">
        <v>6</v>
      </c>
      <c r="J9" s="5">
        <v>0.1</v>
      </c>
      <c r="M9" s="1" t="s">
        <v>7</v>
      </c>
      <c r="N9" s="1" t="s">
        <v>26</v>
      </c>
      <c r="O9" s="14" t="s">
        <v>88</v>
      </c>
      <c r="P9" s="14"/>
    </row>
    <row r="10" spans="2:16" x14ac:dyDescent="0.35">
      <c r="L10" s="14" t="s">
        <v>10</v>
      </c>
      <c r="M10" s="1">
        <v>50</v>
      </c>
      <c r="N10" s="13">
        <f ca="1">_xll.HestonAsianOptionPriceMC($J$3,$J$4,$J$5,$J$6,$J$7,$J$8,$J$9,$M$7,$M10,$O$3:$O$7,"c",$C$12,_xlfn.CEILING.MATH($C$13*$M$7))</f>
        <v>50.03854217664226</v>
      </c>
      <c r="O10" s="13">
        <v>50.061569582226369</v>
      </c>
      <c r="P10" s="18">
        <f ca="1">ABS(O10-N10)/O10</f>
        <v>4.5998169406747611E-4</v>
      </c>
    </row>
    <row r="11" spans="2:16" x14ac:dyDescent="0.35">
      <c r="B11" s="1" t="s">
        <v>23</v>
      </c>
      <c r="C11" s="1" t="b">
        <f ca="1">(2*C5*C6&gt;C7*C7)</f>
        <v>1</v>
      </c>
      <c r="E11" s="1" t="s">
        <v>80</v>
      </c>
      <c r="F11" s="1">
        <v>0.1</v>
      </c>
      <c r="L11" s="14" t="s">
        <v>10</v>
      </c>
      <c r="M11" s="1">
        <v>75</v>
      </c>
      <c r="N11" s="13">
        <f ca="1">_xll.HestonAsianOptionPriceMC($J$3,$J$4,$J$5,$J$6,$J$7,$J$8,$J$9,$M$7,$M11,$O$3:$O$7,"c",$C$12,_xlfn.CEILING.MATH($C$13*$M$7))</f>
        <v>25.243258048186117</v>
      </c>
      <c r="O11" s="13">
        <v>25.223126087727348</v>
      </c>
      <c r="P11" s="18">
        <f ca="1">ABS(O11-N11)/O11</f>
        <v>7.9815485157349328E-4</v>
      </c>
    </row>
    <row r="12" spans="2:16" x14ac:dyDescent="0.35">
      <c r="B12" s="1" t="s">
        <v>19</v>
      </c>
      <c r="C12" s="12">
        <f ca="1">10^5</f>
        <v>100000</v>
      </c>
    </row>
    <row r="13" spans="2:16" x14ac:dyDescent="0.35">
      <c r="B13" s="1" t="s">
        <v>27</v>
      </c>
      <c r="C13" s="1">
        <v>365</v>
      </c>
      <c r="O13" s="1" t="s">
        <v>84</v>
      </c>
      <c r="P13" s="24">
        <f ca="1">AVERAGE(P10:P11)</f>
        <v>6.2906827282048472E-4</v>
      </c>
    </row>
    <row r="14" spans="2:16" x14ac:dyDescent="0.35">
      <c r="O14" s="1" t="s">
        <v>46</v>
      </c>
      <c r="P14" s="14" t="b">
        <f ca="1">IF(ISNUMBER(P13),P13&lt;0.1,FALSE)</f>
        <v>1</v>
      </c>
    </row>
    <row r="15" spans="2:16" x14ac:dyDescent="0.35">
      <c r="B15" t="s">
        <v>31</v>
      </c>
      <c r="G15" s="1" t="s">
        <v>85</v>
      </c>
      <c r="N15" s="13"/>
    </row>
    <row r="16" spans="2:16" x14ac:dyDescent="0.35">
      <c r="B16" s="1" t="s">
        <v>25</v>
      </c>
      <c r="C16" s="1" t="s">
        <v>32</v>
      </c>
      <c r="D16" s="1" t="s">
        <v>33</v>
      </c>
      <c r="E16" s="1" t="s">
        <v>35</v>
      </c>
      <c r="G16" s="1" t="s">
        <v>86</v>
      </c>
      <c r="H16" s="1" t="s">
        <v>10</v>
      </c>
      <c r="I16" s="1" t="s">
        <v>33</v>
      </c>
      <c r="J16" s="1" t="s">
        <v>29</v>
      </c>
      <c r="K16" s="1" t="s">
        <v>46</v>
      </c>
      <c r="L16" s="14" t="s">
        <v>42</v>
      </c>
      <c r="M16" s="1">
        <v>125</v>
      </c>
      <c r="N16" s="13">
        <f ca="1">_xll.HestonAsianOptionPriceMC($J$3,$J$4,$J$5,$J$6,$J$7,$J$8,$J$9,$M$7,$M16,$O$3:$O$7,"p",$C$12,_xlfn.CEILING.MATH($C$13*$M$7))</f>
        <v>24.702902634983985</v>
      </c>
      <c r="O16" s="1">
        <v>24.774700616868973</v>
      </c>
      <c r="P16" s="1">
        <f ca="1">ABS(N16-O16)/O16</f>
        <v>2.8980363070906599E-3</v>
      </c>
    </row>
    <row r="17" spans="2:16" x14ac:dyDescent="0.35">
      <c r="B17" s="1">
        <v>1</v>
      </c>
      <c r="C17" s="13">
        <f ca="1">_xll.HestonAsianOptionPriceMC($C$3,$C$4,$C$5,$C$6,$C$7,$C$8,$C$9,B17,$C$3,B27:B28,"c",$C$12,$C$13*B17)</f>
        <v>11.901091996344528</v>
      </c>
      <c r="D17" s="13">
        <v>12.632309196007343</v>
      </c>
      <c r="E17" s="17">
        <f ca="1">ABS(C17-D17)/D17</f>
        <v>5.7884681915000055E-2</v>
      </c>
      <c r="G17" s="1">
        <v>1</v>
      </c>
      <c r="H17" s="13">
        <f ca="1">_xll.HestonAsianOptionPriceMC($C$3,$C$4,$C$5,$C$6,$C$7,$C$8,$C$9,G17,$C$3,E27:E391,"c",$C$12,$C$13*G17)</f>
        <v>7.1926557518751562</v>
      </c>
      <c r="I17" s="13">
        <v>7.3620505020380822</v>
      </c>
      <c r="J17" s="17">
        <f ca="1">ABS(H17-I17)/I17</f>
        <v>2.3009180678131919E-2</v>
      </c>
      <c r="K17" s="1" t="b">
        <f ca="1">IF(ISNUMBER(J17),J17&lt;F11,FALSE)</f>
        <v>1</v>
      </c>
      <c r="L17" s="14" t="s">
        <v>42</v>
      </c>
      <c r="M17" s="1">
        <v>150</v>
      </c>
      <c r="N17" s="13">
        <f ca="1">_xll.HestonAsianOptionPriceMC($J$3,$J$4,$J$5,$J$6,$J$7,$J$8,$J$9,$M$7,$M17,$O$3:$O$7,"p",$C$12,_xlfn.CEILING.MATH($C$13*$M$7))</f>
        <v>49.328048312929589</v>
      </c>
      <c r="O17" s="1">
        <v>49.30120710298133</v>
      </c>
      <c r="P17" s="1">
        <f ca="1">ABS(N17-O17)/O17</f>
        <v>5.4443311889285887E-4</v>
      </c>
    </row>
    <row r="18" spans="2:16" x14ac:dyDescent="0.35">
      <c r="B18" s="1">
        <v>2</v>
      </c>
      <c r="C18" s="13">
        <f ca="1">_xll.HestonAsianOptionPriceMC($C$3,$C$4,$C$5,$C$6,$C$7,$C$8,$C$9,B18,$C$3,C27:C33,"c",$C$12,$C$13*B18)</f>
        <v>11.468746176286849</v>
      </c>
      <c r="D18" s="13">
        <v>11.935531689557147</v>
      </c>
      <c r="E18" s="17">
        <f ca="1">ABS(C18-D18)/D18</f>
        <v>3.9108899830470535E-2</v>
      </c>
    </row>
    <row r="19" spans="2:16" x14ac:dyDescent="0.35">
      <c r="B19" s="1">
        <v>3</v>
      </c>
      <c r="C19" s="13">
        <f ca="1">_xll.HestonAsianOptionPriceMC($C$3,$C$4,$C$5,$C$6,$C$7,$C$8,$C$9,B19,$C$3,D27:D29,"c",$C$12,$C$13*B19)</f>
        <v>19.696048660385227</v>
      </c>
      <c r="D19" s="13">
        <v>19.42639585139457</v>
      </c>
      <c r="E19" s="17">
        <f ca="1">ABS(C19-D19)/D19</f>
        <v>1.3880743039182885E-2</v>
      </c>
      <c r="G19" s="1" t="s">
        <v>87</v>
      </c>
      <c r="O19" s="1" t="s">
        <v>84</v>
      </c>
      <c r="P19" s="24">
        <f ca="1">AVERAGE(P16:P17)</f>
        <v>1.7212347129917593E-3</v>
      </c>
    </row>
    <row r="20" spans="2:16" x14ac:dyDescent="0.35">
      <c r="G20" s="1" t="s">
        <v>86</v>
      </c>
      <c r="H20" s="1" t="s">
        <v>10</v>
      </c>
      <c r="I20" s="1" t="s">
        <v>33</v>
      </c>
      <c r="J20" s="1" t="s">
        <v>29</v>
      </c>
      <c r="K20" s="1" t="s">
        <v>46</v>
      </c>
      <c r="N20" s="14"/>
      <c r="O20" s="1" t="s">
        <v>46</v>
      </c>
      <c r="P20" s="1" t="b">
        <f ca="1">IFERROR(P19&lt;F11,FALSE)</f>
        <v>1</v>
      </c>
    </row>
    <row r="21" spans="2:16" x14ac:dyDescent="0.35">
      <c r="B21" s="1" t="s">
        <v>84</v>
      </c>
      <c r="C21" s="17">
        <f t="array" aca="1" ref="C21" ca="1">AVERAGE(E17:E19)</f>
        <v>3.6958108261551159E-2</v>
      </c>
      <c r="G21" s="1">
        <f ca="1">1/C13</f>
        <v>2.7397260273972603E-3</v>
      </c>
      <c r="H21" s="13" t="str">
        <f ca="1">_xll.HestonAsianOptionPriceMC($C$3,0,$C$5,$C$6,$C$7,$C$8,$C$9,G21,$C$3/2,F27,"c",$C$12,$C$13*G21)</f>
        <v>HestonAsianOptionPriceMC: unknown error: One or more errors occurred.</v>
      </c>
      <c r="I21" s="13">
        <v>50</v>
      </c>
      <c r="J21" s="17" t="e">
        <f ca="1">ABS(H21-I21)/I21</f>
        <v>#VALUE!</v>
      </c>
      <c r="K21" s="1" t="b">
        <f ca="1">IFERROR(J21&lt;0.01,FALSE)</f>
        <v>0</v>
      </c>
      <c r="N21" s="14"/>
      <c r="O21" s="14"/>
    </row>
    <row r="22" spans="2:16" x14ac:dyDescent="0.35">
      <c r="B22" s="1" t="s">
        <v>46</v>
      </c>
      <c r="C22" s="1" t="b">
        <f ca="1">IF(ISNUMBER(C21),C21&lt;F11,FALSE)</f>
        <v>1</v>
      </c>
      <c r="N22" s="14"/>
      <c r="O22" s="14"/>
    </row>
    <row r="23" spans="2:16" x14ac:dyDescent="0.35">
      <c r="N23" s="14"/>
      <c r="O23" s="14"/>
    </row>
    <row r="24" spans="2:16" x14ac:dyDescent="0.35">
      <c r="M24" s="14"/>
      <c r="N24" s="14"/>
      <c r="O24" s="14"/>
    </row>
    <row r="25" spans="2:16" x14ac:dyDescent="0.35">
      <c r="M25" s="14"/>
      <c r="N25" s="14"/>
      <c r="O25" s="14"/>
    </row>
    <row r="26" spans="2:16" x14ac:dyDescent="0.35">
      <c r="B26" s="1" t="s">
        <v>36</v>
      </c>
      <c r="C26" s="1" t="s">
        <v>37</v>
      </c>
      <c r="D26" s="1" t="s">
        <v>38</v>
      </c>
      <c r="E26" s="1" t="s">
        <v>39</v>
      </c>
      <c r="F26" s="1" t="s">
        <v>40</v>
      </c>
    </row>
    <row r="27" spans="2:16" x14ac:dyDescent="0.35">
      <c r="B27" s="1">
        <v>0.75</v>
      </c>
      <c r="C27" s="1">
        <v>0.25</v>
      </c>
      <c r="D27" s="1">
        <v>1</v>
      </c>
      <c r="E27" s="1">
        <f ca="1">1/365</f>
        <v>2.7397260273972603E-3</v>
      </c>
      <c r="F27" s="1">
        <v>0</v>
      </c>
    </row>
    <row r="28" spans="2:16" x14ac:dyDescent="0.35">
      <c r="B28" s="1">
        <v>1</v>
      </c>
      <c r="C28" s="1">
        <v>0.5</v>
      </c>
      <c r="D28" s="1">
        <v>2</v>
      </c>
      <c r="E28" s="1">
        <f t="shared" ref="E28:E36" ca="1" si="0">E27+1/365</f>
        <v>5.4794520547945206E-3</v>
      </c>
    </row>
    <row r="29" spans="2:16" x14ac:dyDescent="0.35">
      <c r="C29" s="1">
        <v>0.75</v>
      </c>
      <c r="D29" s="1">
        <v>3</v>
      </c>
      <c r="E29" s="1">
        <f t="shared" ca="1" si="0"/>
        <v>8.2191780821917818E-3</v>
      </c>
    </row>
    <row r="30" spans="2:16" x14ac:dyDescent="0.35">
      <c r="C30" s="1">
        <v>1</v>
      </c>
      <c r="E30" s="1">
        <f t="shared" ca="1" si="0"/>
        <v>1.0958904109589041E-2</v>
      </c>
    </row>
    <row r="31" spans="2:16" x14ac:dyDescent="0.35">
      <c r="C31" s="1">
        <v>1.25</v>
      </c>
      <c r="E31" s="1">
        <f t="shared" ca="1" si="0"/>
        <v>1.3698630136986301E-2</v>
      </c>
    </row>
    <row r="32" spans="2:16" x14ac:dyDescent="0.35">
      <c r="C32" s="1">
        <v>1.5</v>
      </c>
      <c r="E32" s="1">
        <f t="shared" ca="1" si="0"/>
        <v>1.643835616438356E-2</v>
      </c>
    </row>
    <row r="33" spans="3:5" x14ac:dyDescent="0.35">
      <c r="C33" s="1">
        <v>1.75</v>
      </c>
      <c r="E33" s="1">
        <f t="shared" ca="1" si="0"/>
        <v>1.9178082191780819E-2</v>
      </c>
    </row>
    <row r="34" spans="3:5" x14ac:dyDescent="0.35">
      <c r="E34" s="1">
        <f t="shared" ca="1" si="0"/>
        <v>2.1917808219178079E-2</v>
      </c>
    </row>
    <row r="35" spans="3:5" x14ac:dyDescent="0.35">
      <c r="E35" s="1">
        <f t="shared" ca="1" si="0"/>
        <v>2.4657534246575338E-2</v>
      </c>
    </row>
    <row r="36" spans="3:5" x14ac:dyDescent="0.35">
      <c r="E36" s="1">
        <f t="shared" ca="1" si="0"/>
        <v>2.7397260273972598E-2</v>
      </c>
    </row>
    <row r="37" spans="3:5" x14ac:dyDescent="0.35">
      <c r="E37" s="1">
        <f t="shared" ref="E37:E92" ca="1" si="1">E36+1/365</f>
        <v>3.0136986301369857E-2</v>
      </c>
    </row>
    <row r="38" spans="3:5" x14ac:dyDescent="0.35">
      <c r="E38" s="1">
        <f t="shared" ca="1" si="1"/>
        <v>3.287671232876712E-2</v>
      </c>
    </row>
    <row r="39" spans="3:5" x14ac:dyDescent="0.35">
      <c r="E39" s="1">
        <f t="shared" ca="1" si="1"/>
        <v>3.5616438356164383E-2</v>
      </c>
    </row>
    <row r="40" spans="3:5" x14ac:dyDescent="0.35">
      <c r="E40" s="1">
        <f t="shared" ca="1" si="1"/>
        <v>3.8356164383561646E-2</v>
      </c>
    </row>
    <row r="41" spans="3:5" x14ac:dyDescent="0.35">
      <c r="E41" s="1">
        <f t="shared" ca="1" si="1"/>
        <v>4.1095890410958909E-2</v>
      </c>
    </row>
    <row r="42" spans="3:5" x14ac:dyDescent="0.35">
      <c r="E42" s="1">
        <f t="shared" ca="1" si="1"/>
        <v>4.3835616438356172E-2</v>
      </c>
    </row>
    <row r="43" spans="3:5" x14ac:dyDescent="0.35">
      <c r="E43" s="1">
        <f t="shared" ca="1" si="1"/>
        <v>4.6575342465753435E-2</v>
      </c>
    </row>
    <row r="44" spans="3:5" x14ac:dyDescent="0.35">
      <c r="E44" s="1">
        <f t="shared" ca="1" si="1"/>
        <v>4.9315068493150697E-2</v>
      </c>
    </row>
    <row r="45" spans="3:5" x14ac:dyDescent="0.35">
      <c r="E45" s="1">
        <f t="shared" ca="1" si="1"/>
        <v>5.205479452054796E-2</v>
      </c>
    </row>
    <row r="46" spans="3:5" x14ac:dyDescent="0.35">
      <c r="E46" s="1">
        <f t="shared" ca="1" si="1"/>
        <v>5.4794520547945223E-2</v>
      </c>
    </row>
    <row r="47" spans="3:5" x14ac:dyDescent="0.35">
      <c r="E47" s="1">
        <f t="shared" ca="1" si="1"/>
        <v>5.7534246575342486E-2</v>
      </c>
    </row>
    <row r="48" spans="3:5" x14ac:dyDescent="0.35">
      <c r="E48" s="1">
        <f t="shared" ca="1" si="1"/>
        <v>6.0273972602739749E-2</v>
      </c>
    </row>
    <row r="49" spans="5:5" x14ac:dyDescent="0.35">
      <c r="E49" s="1">
        <f t="shared" ca="1" si="1"/>
        <v>6.3013698630137005E-2</v>
      </c>
    </row>
    <row r="50" spans="5:5" x14ac:dyDescent="0.35">
      <c r="E50" s="1">
        <f t="shared" ca="1" si="1"/>
        <v>6.5753424657534268E-2</v>
      </c>
    </row>
    <row r="51" spans="5:5" x14ac:dyDescent="0.35">
      <c r="E51" s="1">
        <f t="shared" ca="1" si="1"/>
        <v>6.8493150684931531E-2</v>
      </c>
    </row>
    <row r="52" spans="5:5" x14ac:dyDescent="0.35">
      <c r="E52" s="1">
        <f t="shared" ca="1" si="1"/>
        <v>7.1232876712328794E-2</v>
      </c>
    </row>
    <row r="53" spans="5:5" x14ac:dyDescent="0.35">
      <c r="E53" s="1">
        <f t="shared" ca="1" si="1"/>
        <v>7.3972602739726057E-2</v>
      </c>
    </row>
    <row r="54" spans="5:5" x14ac:dyDescent="0.35">
      <c r="E54" s="1">
        <f t="shared" ca="1" si="1"/>
        <v>7.6712328767123319E-2</v>
      </c>
    </row>
    <row r="55" spans="5:5" x14ac:dyDescent="0.35">
      <c r="E55" s="1">
        <f t="shared" ca="1" si="1"/>
        <v>7.9452054794520582E-2</v>
      </c>
    </row>
    <row r="56" spans="5:5" x14ac:dyDescent="0.35">
      <c r="E56" s="1">
        <f t="shared" ca="1" si="1"/>
        <v>8.2191780821917845E-2</v>
      </c>
    </row>
    <row r="57" spans="5:5" x14ac:dyDescent="0.35">
      <c r="E57" s="1">
        <f t="shared" ca="1" si="1"/>
        <v>8.4931506849315108E-2</v>
      </c>
    </row>
    <row r="58" spans="5:5" x14ac:dyDescent="0.35">
      <c r="E58" s="1">
        <f t="shared" ca="1" si="1"/>
        <v>8.7671232876712371E-2</v>
      </c>
    </row>
    <row r="59" spans="5:5" x14ac:dyDescent="0.35">
      <c r="E59" s="1">
        <f t="shared" ca="1" si="1"/>
        <v>9.0410958904109634E-2</v>
      </c>
    </row>
    <row r="60" spans="5:5" x14ac:dyDescent="0.35">
      <c r="E60" s="1">
        <f t="shared" ca="1" si="1"/>
        <v>9.3150684931506897E-2</v>
      </c>
    </row>
    <row r="61" spans="5:5" x14ac:dyDescent="0.35">
      <c r="E61" s="1">
        <f t="shared" ca="1" si="1"/>
        <v>9.589041095890416E-2</v>
      </c>
    </row>
    <row r="62" spans="5:5" x14ac:dyDescent="0.35">
      <c r="E62" s="1">
        <f t="shared" ca="1" si="1"/>
        <v>9.8630136986301423E-2</v>
      </c>
    </row>
    <row r="63" spans="5:5" x14ac:dyDescent="0.35">
      <c r="E63" s="1">
        <f t="shared" ca="1" si="1"/>
        <v>0.10136986301369869</v>
      </c>
    </row>
    <row r="64" spans="5:5" x14ac:dyDescent="0.35">
      <c r="E64" s="1">
        <f t="shared" ca="1" si="1"/>
        <v>0.10410958904109595</v>
      </c>
    </row>
    <row r="65" spans="5:5" x14ac:dyDescent="0.35">
      <c r="E65" s="1">
        <f t="shared" ca="1" si="1"/>
        <v>0.10684931506849321</v>
      </c>
    </row>
    <row r="66" spans="5:5" x14ac:dyDescent="0.35">
      <c r="E66" s="1">
        <f t="shared" ca="1" si="1"/>
        <v>0.10958904109589047</v>
      </c>
    </row>
    <row r="67" spans="5:5" x14ac:dyDescent="0.35">
      <c r="E67" s="1">
        <f t="shared" ca="1" si="1"/>
        <v>0.11232876712328774</v>
      </c>
    </row>
    <row r="68" spans="5:5" x14ac:dyDescent="0.35">
      <c r="E68" s="1">
        <f t="shared" ca="1" si="1"/>
        <v>0.115068493150685</v>
      </c>
    </row>
    <row r="69" spans="5:5" x14ac:dyDescent="0.35">
      <c r="E69" s="1">
        <f t="shared" ca="1" si="1"/>
        <v>0.11780821917808226</v>
      </c>
    </row>
    <row r="70" spans="5:5" x14ac:dyDescent="0.35">
      <c r="E70" s="1">
        <f t="shared" ca="1" si="1"/>
        <v>0.12054794520547953</v>
      </c>
    </row>
    <row r="71" spans="5:5" x14ac:dyDescent="0.35">
      <c r="E71" s="1">
        <f t="shared" ca="1" si="1"/>
        <v>0.12328767123287679</v>
      </c>
    </row>
    <row r="72" spans="5:5" x14ac:dyDescent="0.35">
      <c r="E72" s="1">
        <f t="shared" ca="1" si="1"/>
        <v>0.12602739726027404</v>
      </c>
    </row>
    <row r="73" spans="5:5" x14ac:dyDescent="0.35">
      <c r="E73" s="1">
        <f t="shared" ca="1" si="1"/>
        <v>0.12876712328767129</v>
      </c>
    </row>
    <row r="74" spans="5:5" x14ac:dyDescent="0.35">
      <c r="E74" s="1">
        <f t="shared" ca="1" si="1"/>
        <v>0.13150684931506854</v>
      </c>
    </row>
    <row r="75" spans="5:5" x14ac:dyDescent="0.35">
      <c r="E75" s="1">
        <f t="shared" ca="1" si="1"/>
        <v>0.13424657534246578</v>
      </c>
    </row>
    <row r="76" spans="5:5" x14ac:dyDescent="0.35">
      <c r="E76" s="1">
        <f t="shared" ca="1" si="1"/>
        <v>0.13698630136986303</v>
      </c>
    </row>
    <row r="77" spans="5:5" x14ac:dyDescent="0.35">
      <c r="E77" s="1">
        <f t="shared" ca="1" si="1"/>
        <v>0.13972602739726028</v>
      </c>
    </row>
    <row r="78" spans="5:5" x14ac:dyDescent="0.35">
      <c r="E78" s="1">
        <f t="shared" ca="1" si="1"/>
        <v>0.14246575342465753</v>
      </c>
    </row>
    <row r="79" spans="5:5" x14ac:dyDescent="0.35">
      <c r="E79" s="1">
        <f t="shared" ca="1" si="1"/>
        <v>0.14520547945205478</v>
      </c>
    </row>
    <row r="80" spans="5:5" x14ac:dyDescent="0.35">
      <c r="E80" s="1">
        <f t="shared" ca="1" si="1"/>
        <v>0.14794520547945203</v>
      </c>
    </row>
    <row r="81" spans="5:5" x14ac:dyDescent="0.35">
      <c r="E81" s="1">
        <f t="shared" ca="1" si="1"/>
        <v>0.15068493150684928</v>
      </c>
    </row>
    <row r="82" spans="5:5" x14ac:dyDescent="0.35">
      <c r="E82" s="1">
        <f t="shared" ca="1" si="1"/>
        <v>0.15342465753424653</v>
      </c>
    </row>
    <row r="83" spans="5:5" x14ac:dyDescent="0.35">
      <c r="E83" s="1">
        <f t="shared" ca="1" si="1"/>
        <v>0.15616438356164378</v>
      </c>
    </row>
    <row r="84" spans="5:5" x14ac:dyDescent="0.35">
      <c r="E84" s="1">
        <f t="shared" ca="1" si="1"/>
        <v>0.15890410958904103</v>
      </c>
    </row>
    <row r="85" spans="5:5" x14ac:dyDescent="0.35">
      <c r="E85" s="1">
        <f t="shared" ca="1" si="1"/>
        <v>0.16164383561643828</v>
      </c>
    </row>
    <row r="86" spans="5:5" x14ac:dyDescent="0.35">
      <c r="E86" s="1">
        <f t="shared" ca="1" si="1"/>
        <v>0.16438356164383552</v>
      </c>
    </row>
    <row r="87" spans="5:5" x14ac:dyDescent="0.35">
      <c r="E87" s="1">
        <f t="shared" ca="1" si="1"/>
        <v>0.16712328767123277</v>
      </c>
    </row>
    <row r="88" spans="5:5" x14ac:dyDescent="0.35">
      <c r="E88" s="1">
        <f t="shared" ca="1" si="1"/>
        <v>0.16986301369863002</v>
      </c>
    </row>
    <row r="89" spans="5:5" x14ac:dyDescent="0.35">
      <c r="E89" s="1">
        <f t="shared" ca="1" si="1"/>
        <v>0.17260273972602727</v>
      </c>
    </row>
    <row r="90" spans="5:5" x14ac:dyDescent="0.35">
      <c r="E90" s="1">
        <f t="shared" ca="1" si="1"/>
        <v>0.17534246575342452</v>
      </c>
    </row>
    <row r="91" spans="5:5" x14ac:dyDescent="0.35">
      <c r="E91" s="1">
        <f t="shared" ca="1" si="1"/>
        <v>0.17808219178082177</v>
      </c>
    </row>
    <row r="92" spans="5:5" x14ac:dyDescent="0.35">
      <c r="E92" s="1">
        <f t="shared" ca="1" si="1"/>
        <v>0.18082191780821902</v>
      </c>
    </row>
    <row r="93" spans="5:5" x14ac:dyDescent="0.35">
      <c r="E93" s="1">
        <f t="shared" ref="E93:E156" ca="1" si="2">E92+1/365</f>
        <v>0.18356164383561627</v>
      </c>
    </row>
    <row r="94" spans="5:5" x14ac:dyDescent="0.35">
      <c r="E94" s="1">
        <f t="shared" ca="1" si="2"/>
        <v>0.18630136986301352</v>
      </c>
    </row>
    <row r="95" spans="5:5" x14ac:dyDescent="0.35">
      <c r="E95" s="1">
        <f t="shared" ca="1" si="2"/>
        <v>0.18904109589041077</v>
      </c>
    </row>
    <row r="96" spans="5:5" x14ac:dyDescent="0.35">
      <c r="E96" s="1">
        <f t="shared" ca="1" si="2"/>
        <v>0.19178082191780801</v>
      </c>
    </row>
    <row r="97" spans="5:5" x14ac:dyDescent="0.35">
      <c r="E97" s="1">
        <f t="shared" ca="1" si="2"/>
        <v>0.19452054794520526</v>
      </c>
    </row>
    <row r="98" spans="5:5" x14ac:dyDescent="0.35">
      <c r="E98" s="1">
        <f t="shared" ca="1" si="2"/>
        <v>0.19726027397260251</v>
      </c>
    </row>
    <row r="99" spans="5:5" x14ac:dyDescent="0.35">
      <c r="E99" s="1">
        <f t="shared" ca="1" si="2"/>
        <v>0.19999999999999976</v>
      </c>
    </row>
    <row r="100" spans="5:5" x14ac:dyDescent="0.35">
      <c r="E100" s="1">
        <f t="shared" ca="1" si="2"/>
        <v>0.20273972602739701</v>
      </c>
    </row>
    <row r="101" spans="5:5" x14ac:dyDescent="0.35">
      <c r="E101" s="1">
        <f t="shared" ca="1" si="2"/>
        <v>0.20547945205479426</v>
      </c>
    </row>
    <row r="102" spans="5:5" x14ac:dyDescent="0.35">
      <c r="E102" s="1">
        <f t="shared" ca="1" si="2"/>
        <v>0.20821917808219151</v>
      </c>
    </row>
    <row r="103" spans="5:5" x14ac:dyDescent="0.35">
      <c r="E103" s="1">
        <f t="shared" ca="1" si="2"/>
        <v>0.21095890410958876</v>
      </c>
    </row>
    <row r="104" spans="5:5" x14ac:dyDescent="0.35">
      <c r="E104" s="1">
        <f t="shared" ca="1" si="2"/>
        <v>0.21369863013698601</v>
      </c>
    </row>
    <row r="105" spans="5:5" x14ac:dyDescent="0.35">
      <c r="E105" s="1">
        <f t="shared" ca="1" si="2"/>
        <v>0.21643835616438326</v>
      </c>
    </row>
    <row r="106" spans="5:5" x14ac:dyDescent="0.35">
      <c r="E106" s="1">
        <f t="shared" ca="1" si="2"/>
        <v>0.2191780821917805</v>
      </c>
    </row>
    <row r="107" spans="5:5" x14ac:dyDescent="0.35">
      <c r="E107" s="1">
        <f t="shared" ca="1" si="2"/>
        <v>0.22191780821917775</v>
      </c>
    </row>
    <row r="108" spans="5:5" x14ac:dyDescent="0.35">
      <c r="E108" s="1">
        <f t="shared" ca="1" si="2"/>
        <v>0.224657534246575</v>
      </c>
    </row>
    <row r="109" spans="5:5" x14ac:dyDescent="0.35">
      <c r="E109" s="1">
        <f t="shared" ca="1" si="2"/>
        <v>0.22739726027397225</v>
      </c>
    </row>
    <row r="110" spans="5:5" x14ac:dyDescent="0.35">
      <c r="E110" s="1">
        <f t="shared" ca="1" si="2"/>
        <v>0.2301369863013695</v>
      </c>
    </row>
    <row r="111" spans="5:5" x14ac:dyDescent="0.35">
      <c r="E111" s="1">
        <f t="shared" ca="1" si="2"/>
        <v>0.23287671232876675</v>
      </c>
    </row>
    <row r="112" spans="5:5" x14ac:dyDescent="0.35">
      <c r="E112" s="1">
        <f t="shared" ca="1" si="2"/>
        <v>0.235616438356164</v>
      </c>
    </row>
    <row r="113" spans="5:5" x14ac:dyDescent="0.35">
      <c r="E113" s="1">
        <f t="shared" ca="1" si="2"/>
        <v>0.23835616438356125</v>
      </c>
    </row>
    <row r="114" spans="5:5" x14ac:dyDescent="0.35">
      <c r="E114" s="1">
        <f t="shared" ca="1" si="2"/>
        <v>0.2410958904109585</v>
      </c>
    </row>
    <row r="115" spans="5:5" x14ac:dyDescent="0.35">
      <c r="E115" s="1">
        <f t="shared" ca="1" si="2"/>
        <v>0.24383561643835575</v>
      </c>
    </row>
    <row r="116" spans="5:5" x14ac:dyDescent="0.35">
      <c r="E116" s="1">
        <f t="shared" ca="1" si="2"/>
        <v>0.24657534246575299</v>
      </c>
    </row>
    <row r="117" spans="5:5" x14ac:dyDescent="0.35">
      <c r="E117" s="1">
        <f t="shared" ca="1" si="2"/>
        <v>0.24931506849315024</v>
      </c>
    </row>
    <row r="118" spans="5:5" x14ac:dyDescent="0.35">
      <c r="E118" s="1">
        <f t="shared" ca="1" si="2"/>
        <v>0.25205479452054752</v>
      </c>
    </row>
    <row r="119" spans="5:5" x14ac:dyDescent="0.35">
      <c r="E119" s="1">
        <f t="shared" ca="1" si="2"/>
        <v>0.25479452054794477</v>
      </c>
    </row>
    <row r="120" spans="5:5" x14ac:dyDescent="0.35">
      <c r="E120" s="1">
        <f t="shared" ca="1" si="2"/>
        <v>0.25753424657534202</v>
      </c>
    </row>
    <row r="121" spans="5:5" x14ac:dyDescent="0.35">
      <c r="E121" s="1">
        <f t="shared" ca="1" si="2"/>
        <v>0.26027397260273927</v>
      </c>
    </row>
    <row r="122" spans="5:5" x14ac:dyDescent="0.35">
      <c r="E122" s="1">
        <f t="shared" ca="1" si="2"/>
        <v>0.26301369863013652</v>
      </c>
    </row>
    <row r="123" spans="5:5" x14ac:dyDescent="0.35">
      <c r="E123" s="1">
        <f t="shared" ca="1" si="2"/>
        <v>0.26575342465753377</v>
      </c>
    </row>
    <row r="124" spans="5:5" x14ac:dyDescent="0.35">
      <c r="E124" s="1">
        <f t="shared" ca="1" si="2"/>
        <v>0.26849315068493101</v>
      </c>
    </row>
    <row r="125" spans="5:5" x14ac:dyDescent="0.35">
      <c r="E125" s="1">
        <f t="shared" ca="1" si="2"/>
        <v>0.27123287671232826</v>
      </c>
    </row>
    <row r="126" spans="5:5" x14ac:dyDescent="0.35">
      <c r="E126" s="1">
        <f t="shared" ca="1" si="2"/>
        <v>0.27397260273972551</v>
      </c>
    </row>
    <row r="127" spans="5:5" x14ac:dyDescent="0.35">
      <c r="E127" s="1">
        <f t="shared" ca="1" si="2"/>
        <v>0.27671232876712276</v>
      </c>
    </row>
    <row r="128" spans="5:5" x14ac:dyDescent="0.35">
      <c r="E128" s="1">
        <f t="shared" ca="1" si="2"/>
        <v>0.27945205479452001</v>
      </c>
    </row>
    <row r="129" spans="5:5" x14ac:dyDescent="0.35">
      <c r="E129" s="1">
        <f t="shared" ca="1" si="2"/>
        <v>0.28219178082191726</v>
      </c>
    </row>
    <row r="130" spans="5:5" x14ac:dyDescent="0.35">
      <c r="E130" s="1">
        <f t="shared" ca="1" si="2"/>
        <v>0.28493150684931451</v>
      </c>
    </row>
    <row r="131" spans="5:5" x14ac:dyDescent="0.35">
      <c r="E131" s="1">
        <f t="shared" ca="1" si="2"/>
        <v>0.28767123287671176</v>
      </c>
    </row>
    <row r="132" spans="5:5" x14ac:dyDescent="0.35">
      <c r="E132" s="1">
        <f t="shared" ca="1" si="2"/>
        <v>0.29041095890410901</v>
      </c>
    </row>
    <row r="133" spans="5:5" x14ac:dyDescent="0.35">
      <c r="E133" s="1">
        <f t="shared" ca="1" si="2"/>
        <v>0.29315068493150626</v>
      </c>
    </row>
    <row r="134" spans="5:5" x14ac:dyDescent="0.35">
      <c r="E134" s="1">
        <f t="shared" ca="1" si="2"/>
        <v>0.2958904109589035</v>
      </c>
    </row>
    <row r="135" spans="5:5" x14ac:dyDescent="0.35">
      <c r="E135" s="1">
        <f t="shared" ca="1" si="2"/>
        <v>0.29863013698630075</v>
      </c>
    </row>
    <row r="136" spans="5:5" x14ac:dyDescent="0.35">
      <c r="E136" s="1">
        <f t="shared" ca="1" si="2"/>
        <v>0.301369863013698</v>
      </c>
    </row>
    <row r="137" spans="5:5" x14ac:dyDescent="0.35">
      <c r="E137" s="1">
        <f t="shared" ca="1" si="2"/>
        <v>0.30410958904109525</v>
      </c>
    </row>
    <row r="138" spans="5:5" x14ac:dyDescent="0.35">
      <c r="E138" s="1">
        <f t="shared" ca="1" si="2"/>
        <v>0.3068493150684925</v>
      </c>
    </row>
    <row r="139" spans="5:5" x14ac:dyDescent="0.35">
      <c r="E139" s="1">
        <f t="shared" ca="1" si="2"/>
        <v>0.30958904109588975</v>
      </c>
    </row>
    <row r="140" spans="5:5" x14ac:dyDescent="0.35">
      <c r="E140" s="1">
        <f t="shared" ca="1" si="2"/>
        <v>0.312328767123287</v>
      </c>
    </row>
    <row r="141" spans="5:5" x14ac:dyDescent="0.35">
      <c r="E141" s="1">
        <f t="shared" ca="1" si="2"/>
        <v>0.31506849315068425</v>
      </c>
    </row>
    <row r="142" spans="5:5" x14ac:dyDescent="0.35">
      <c r="E142" s="1">
        <f t="shared" ca="1" si="2"/>
        <v>0.3178082191780815</v>
      </c>
    </row>
    <row r="143" spans="5:5" x14ac:dyDescent="0.35">
      <c r="E143" s="1">
        <f t="shared" ca="1" si="2"/>
        <v>0.32054794520547875</v>
      </c>
    </row>
    <row r="144" spans="5:5" x14ac:dyDescent="0.35">
      <c r="E144" s="1">
        <f t="shared" ca="1" si="2"/>
        <v>0.32328767123287599</v>
      </c>
    </row>
    <row r="145" spans="5:5" x14ac:dyDescent="0.35">
      <c r="E145" s="1">
        <f t="shared" ca="1" si="2"/>
        <v>0.32602739726027324</v>
      </c>
    </row>
    <row r="146" spans="5:5" x14ac:dyDescent="0.35">
      <c r="E146" s="1">
        <f t="shared" ca="1" si="2"/>
        <v>0.32876712328767049</v>
      </c>
    </row>
    <row r="147" spans="5:5" x14ac:dyDescent="0.35">
      <c r="E147" s="1">
        <f t="shared" ca="1" si="2"/>
        <v>0.33150684931506774</v>
      </c>
    </row>
    <row r="148" spans="5:5" x14ac:dyDescent="0.35">
      <c r="E148" s="1">
        <f t="shared" ca="1" si="2"/>
        <v>0.33424657534246499</v>
      </c>
    </row>
    <row r="149" spans="5:5" x14ac:dyDescent="0.35">
      <c r="E149" s="1">
        <f t="shared" ca="1" si="2"/>
        <v>0.33698630136986224</v>
      </c>
    </row>
    <row r="150" spans="5:5" x14ac:dyDescent="0.35">
      <c r="E150" s="1">
        <f t="shared" ca="1" si="2"/>
        <v>0.33972602739725949</v>
      </c>
    </row>
    <row r="151" spans="5:5" x14ac:dyDescent="0.35">
      <c r="E151" s="1">
        <f t="shared" ca="1" si="2"/>
        <v>0.34246575342465674</v>
      </c>
    </row>
    <row r="152" spans="5:5" x14ac:dyDescent="0.35">
      <c r="E152" s="1">
        <f t="shared" ca="1" si="2"/>
        <v>0.34520547945205399</v>
      </c>
    </row>
    <row r="153" spans="5:5" x14ac:dyDescent="0.35">
      <c r="E153" s="1">
        <f t="shared" ca="1" si="2"/>
        <v>0.34794520547945124</v>
      </c>
    </row>
    <row r="154" spans="5:5" x14ac:dyDescent="0.35">
      <c r="E154" s="1">
        <f t="shared" ca="1" si="2"/>
        <v>0.35068493150684849</v>
      </c>
    </row>
    <row r="155" spans="5:5" x14ac:dyDescent="0.35">
      <c r="E155" s="1">
        <f t="shared" ca="1" si="2"/>
        <v>0.35342465753424573</v>
      </c>
    </row>
    <row r="156" spans="5:5" x14ac:dyDescent="0.35">
      <c r="E156" s="1">
        <f t="shared" ca="1" si="2"/>
        <v>0.35616438356164298</v>
      </c>
    </row>
    <row r="157" spans="5:5" x14ac:dyDescent="0.35">
      <c r="E157" s="1">
        <f t="shared" ref="E157:E220" ca="1" si="3">E156+1/365</f>
        <v>0.35890410958904023</v>
      </c>
    </row>
    <row r="158" spans="5:5" x14ac:dyDescent="0.35">
      <c r="E158" s="1">
        <f t="shared" ca="1" si="3"/>
        <v>0.36164383561643748</v>
      </c>
    </row>
    <row r="159" spans="5:5" x14ac:dyDescent="0.35">
      <c r="E159" s="1">
        <f t="shared" ca="1" si="3"/>
        <v>0.36438356164383473</v>
      </c>
    </row>
    <row r="160" spans="5:5" x14ac:dyDescent="0.35">
      <c r="E160" s="1">
        <f t="shared" ca="1" si="3"/>
        <v>0.36712328767123198</v>
      </c>
    </row>
    <row r="161" spans="5:5" x14ac:dyDescent="0.35">
      <c r="E161" s="1">
        <f t="shared" ca="1" si="3"/>
        <v>0.36986301369862923</v>
      </c>
    </row>
    <row r="162" spans="5:5" x14ac:dyDescent="0.35">
      <c r="E162" s="1">
        <f t="shared" ca="1" si="3"/>
        <v>0.37260273972602648</v>
      </c>
    </row>
    <row r="163" spans="5:5" x14ac:dyDescent="0.35">
      <c r="E163" s="1">
        <f t="shared" ca="1" si="3"/>
        <v>0.37534246575342373</v>
      </c>
    </row>
    <row r="164" spans="5:5" x14ac:dyDescent="0.35">
      <c r="E164" s="1">
        <f t="shared" ca="1" si="3"/>
        <v>0.37808219178082098</v>
      </c>
    </row>
    <row r="165" spans="5:5" x14ac:dyDescent="0.35">
      <c r="E165" s="1">
        <f t="shared" ca="1" si="3"/>
        <v>0.38082191780821822</v>
      </c>
    </row>
    <row r="166" spans="5:5" x14ac:dyDescent="0.35">
      <c r="E166" s="1">
        <f t="shared" ca="1" si="3"/>
        <v>0.38356164383561547</v>
      </c>
    </row>
    <row r="167" spans="5:5" x14ac:dyDescent="0.35">
      <c r="E167" s="1">
        <f t="shared" ca="1" si="3"/>
        <v>0.38630136986301272</v>
      </c>
    </row>
    <row r="168" spans="5:5" x14ac:dyDescent="0.35">
      <c r="E168" s="1">
        <f t="shared" ca="1" si="3"/>
        <v>0.38904109589040997</v>
      </c>
    </row>
    <row r="169" spans="5:5" x14ac:dyDescent="0.35">
      <c r="E169" s="1">
        <f t="shared" ca="1" si="3"/>
        <v>0.39178082191780722</v>
      </c>
    </row>
    <row r="170" spans="5:5" x14ac:dyDescent="0.35">
      <c r="E170" s="1">
        <f t="shared" ca="1" si="3"/>
        <v>0.39452054794520447</v>
      </c>
    </row>
    <row r="171" spans="5:5" x14ac:dyDescent="0.35">
      <c r="E171" s="1">
        <f t="shared" ca="1" si="3"/>
        <v>0.39726027397260172</v>
      </c>
    </row>
    <row r="172" spans="5:5" x14ac:dyDescent="0.35">
      <c r="E172" s="1">
        <f t="shared" ca="1" si="3"/>
        <v>0.39999999999999897</v>
      </c>
    </row>
    <row r="173" spans="5:5" x14ac:dyDescent="0.35">
      <c r="E173" s="1">
        <f t="shared" ca="1" si="3"/>
        <v>0.40273972602739622</v>
      </c>
    </row>
    <row r="174" spans="5:5" x14ac:dyDescent="0.35">
      <c r="E174" s="1">
        <f t="shared" ca="1" si="3"/>
        <v>0.40547945205479347</v>
      </c>
    </row>
    <row r="175" spans="5:5" x14ac:dyDescent="0.35">
      <c r="E175" s="1">
        <f t="shared" ca="1" si="3"/>
        <v>0.40821917808219071</v>
      </c>
    </row>
    <row r="176" spans="5:5" x14ac:dyDescent="0.35">
      <c r="E176" s="1">
        <f t="shared" ca="1" si="3"/>
        <v>0.41095890410958796</v>
      </c>
    </row>
    <row r="177" spans="5:5" x14ac:dyDescent="0.35">
      <c r="E177" s="1">
        <f t="shared" ca="1" si="3"/>
        <v>0.41369863013698521</v>
      </c>
    </row>
    <row r="178" spans="5:5" x14ac:dyDescent="0.35">
      <c r="E178" s="1">
        <f t="shared" ca="1" si="3"/>
        <v>0.41643835616438246</v>
      </c>
    </row>
    <row r="179" spans="5:5" x14ac:dyDescent="0.35">
      <c r="E179" s="1">
        <f t="shared" ca="1" si="3"/>
        <v>0.41917808219177971</v>
      </c>
    </row>
    <row r="180" spans="5:5" x14ac:dyDescent="0.35">
      <c r="E180" s="1">
        <f t="shared" ca="1" si="3"/>
        <v>0.42191780821917696</v>
      </c>
    </row>
    <row r="181" spans="5:5" x14ac:dyDescent="0.35">
      <c r="E181" s="1">
        <f t="shared" ca="1" si="3"/>
        <v>0.42465753424657421</v>
      </c>
    </row>
    <row r="182" spans="5:5" x14ac:dyDescent="0.35">
      <c r="E182" s="1">
        <f t="shared" ca="1" si="3"/>
        <v>0.42739726027397146</v>
      </c>
    </row>
    <row r="183" spans="5:5" x14ac:dyDescent="0.35">
      <c r="E183" s="1">
        <f t="shared" ca="1" si="3"/>
        <v>0.43013698630136871</v>
      </c>
    </row>
    <row r="184" spans="5:5" x14ac:dyDescent="0.35">
      <c r="E184" s="1">
        <f t="shared" ca="1" si="3"/>
        <v>0.43287671232876596</v>
      </c>
    </row>
    <row r="185" spans="5:5" x14ac:dyDescent="0.35">
      <c r="E185" s="1">
        <f t="shared" ca="1" si="3"/>
        <v>0.4356164383561632</v>
      </c>
    </row>
    <row r="186" spans="5:5" x14ac:dyDescent="0.35">
      <c r="E186" s="1">
        <f t="shared" ca="1" si="3"/>
        <v>0.43835616438356045</v>
      </c>
    </row>
    <row r="187" spans="5:5" x14ac:dyDescent="0.35">
      <c r="E187" s="1">
        <f t="shared" ca="1" si="3"/>
        <v>0.4410958904109577</v>
      </c>
    </row>
    <row r="188" spans="5:5" x14ac:dyDescent="0.35">
      <c r="E188" s="1">
        <f t="shared" ca="1" si="3"/>
        <v>0.44383561643835495</v>
      </c>
    </row>
    <row r="189" spans="5:5" x14ac:dyDescent="0.35">
      <c r="E189" s="1">
        <f t="shared" ca="1" si="3"/>
        <v>0.4465753424657522</v>
      </c>
    </row>
    <row r="190" spans="5:5" x14ac:dyDescent="0.35">
      <c r="E190" s="1">
        <f t="shared" ca="1" si="3"/>
        <v>0.44931506849314945</v>
      </c>
    </row>
    <row r="191" spans="5:5" x14ac:dyDescent="0.35">
      <c r="E191" s="1">
        <f t="shared" ca="1" si="3"/>
        <v>0.4520547945205467</v>
      </c>
    </row>
    <row r="192" spans="5:5" x14ac:dyDescent="0.35">
      <c r="E192" s="1">
        <f t="shared" ca="1" si="3"/>
        <v>0.45479452054794395</v>
      </c>
    </row>
    <row r="193" spans="5:5" x14ac:dyDescent="0.35">
      <c r="E193" s="1">
        <f t="shared" ca="1" si="3"/>
        <v>0.4575342465753412</v>
      </c>
    </row>
    <row r="194" spans="5:5" x14ac:dyDescent="0.35">
      <c r="E194" s="1">
        <f t="shared" ca="1" si="3"/>
        <v>0.46027397260273845</v>
      </c>
    </row>
    <row r="195" spans="5:5" x14ac:dyDescent="0.35">
      <c r="E195" s="1">
        <f t="shared" ca="1" si="3"/>
        <v>0.46301369863013569</v>
      </c>
    </row>
    <row r="196" spans="5:5" x14ac:dyDescent="0.35">
      <c r="E196" s="1">
        <f t="shared" ca="1" si="3"/>
        <v>0.46575342465753294</v>
      </c>
    </row>
    <row r="197" spans="5:5" x14ac:dyDescent="0.35">
      <c r="E197" s="1">
        <f t="shared" ca="1" si="3"/>
        <v>0.46849315068493019</v>
      </c>
    </row>
    <row r="198" spans="5:5" x14ac:dyDescent="0.35">
      <c r="E198" s="1">
        <f t="shared" ca="1" si="3"/>
        <v>0.47123287671232744</v>
      </c>
    </row>
    <row r="199" spans="5:5" x14ac:dyDescent="0.35">
      <c r="E199" s="1">
        <f t="shared" ca="1" si="3"/>
        <v>0.47397260273972469</v>
      </c>
    </row>
    <row r="200" spans="5:5" x14ac:dyDescent="0.35">
      <c r="E200" s="1">
        <f t="shared" ca="1" si="3"/>
        <v>0.47671232876712194</v>
      </c>
    </row>
    <row r="201" spans="5:5" x14ac:dyDescent="0.35">
      <c r="E201" s="1">
        <f t="shared" ca="1" si="3"/>
        <v>0.47945205479451919</v>
      </c>
    </row>
    <row r="202" spans="5:5" x14ac:dyDescent="0.35">
      <c r="E202" s="1">
        <f t="shared" ca="1" si="3"/>
        <v>0.48219178082191644</v>
      </c>
    </row>
    <row r="203" spans="5:5" x14ac:dyDescent="0.35">
      <c r="E203" s="1">
        <f t="shared" ca="1" si="3"/>
        <v>0.48493150684931369</v>
      </c>
    </row>
    <row r="204" spans="5:5" x14ac:dyDescent="0.35">
      <c r="E204" s="1">
        <f t="shared" ca="1" si="3"/>
        <v>0.48767123287671094</v>
      </c>
    </row>
    <row r="205" spans="5:5" x14ac:dyDescent="0.35">
      <c r="E205" s="1">
        <f t="shared" ca="1" si="3"/>
        <v>0.49041095890410819</v>
      </c>
    </row>
    <row r="206" spans="5:5" x14ac:dyDescent="0.35">
      <c r="E206" s="1">
        <f t="shared" ca="1" si="3"/>
        <v>0.49315068493150543</v>
      </c>
    </row>
    <row r="207" spans="5:5" x14ac:dyDescent="0.35">
      <c r="E207" s="1">
        <f t="shared" ca="1" si="3"/>
        <v>0.49589041095890268</v>
      </c>
    </row>
    <row r="208" spans="5:5" x14ac:dyDescent="0.35">
      <c r="E208" s="1">
        <f t="shared" ca="1" si="3"/>
        <v>0.49863013698629993</v>
      </c>
    </row>
    <row r="209" spans="5:5" x14ac:dyDescent="0.35">
      <c r="E209" s="1">
        <f t="shared" ca="1" si="3"/>
        <v>0.50136986301369724</v>
      </c>
    </row>
    <row r="210" spans="5:5" x14ac:dyDescent="0.35">
      <c r="E210" s="1">
        <f t="shared" ca="1" si="3"/>
        <v>0.50410958904109449</v>
      </c>
    </row>
    <row r="211" spans="5:5" x14ac:dyDescent="0.35">
      <c r="E211" s="1">
        <f t="shared" ca="1" si="3"/>
        <v>0.50684931506849173</v>
      </c>
    </row>
    <row r="212" spans="5:5" x14ac:dyDescent="0.35">
      <c r="E212" s="1">
        <f t="shared" ca="1" si="3"/>
        <v>0.50958904109588898</v>
      </c>
    </row>
    <row r="213" spans="5:5" x14ac:dyDescent="0.35">
      <c r="E213" s="1">
        <f t="shared" ca="1" si="3"/>
        <v>0.51232876712328623</v>
      </c>
    </row>
    <row r="214" spans="5:5" x14ac:dyDescent="0.35">
      <c r="E214" s="1">
        <f t="shared" ca="1" si="3"/>
        <v>0.51506849315068348</v>
      </c>
    </row>
    <row r="215" spans="5:5" x14ac:dyDescent="0.35">
      <c r="E215" s="1">
        <f t="shared" ca="1" si="3"/>
        <v>0.51780821917808073</v>
      </c>
    </row>
    <row r="216" spans="5:5" x14ac:dyDescent="0.35">
      <c r="E216" s="1">
        <f t="shared" ca="1" si="3"/>
        <v>0.52054794520547798</v>
      </c>
    </row>
    <row r="217" spans="5:5" x14ac:dyDescent="0.35">
      <c r="E217" s="1">
        <f t="shared" ca="1" si="3"/>
        <v>0.52328767123287523</v>
      </c>
    </row>
    <row r="218" spans="5:5" x14ac:dyDescent="0.35">
      <c r="E218" s="1">
        <f t="shared" ca="1" si="3"/>
        <v>0.52602739726027248</v>
      </c>
    </row>
    <row r="219" spans="5:5" x14ac:dyDescent="0.35">
      <c r="E219" s="1">
        <f t="shared" ca="1" si="3"/>
        <v>0.52876712328766973</v>
      </c>
    </row>
    <row r="220" spans="5:5" x14ac:dyDescent="0.35">
      <c r="E220" s="1">
        <f t="shared" ca="1" si="3"/>
        <v>0.53150684931506698</v>
      </c>
    </row>
    <row r="221" spans="5:5" x14ac:dyDescent="0.35">
      <c r="E221" s="1">
        <f t="shared" ref="E221:E284" ca="1" si="4">E220+1/365</f>
        <v>0.53424657534246422</v>
      </c>
    </row>
    <row r="222" spans="5:5" x14ac:dyDescent="0.35">
      <c r="E222" s="1">
        <f t="shared" ca="1" si="4"/>
        <v>0.53698630136986147</v>
      </c>
    </row>
    <row r="223" spans="5:5" x14ac:dyDescent="0.35">
      <c r="E223" s="1">
        <f t="shared" ca="1" si="4"/>
        <v>0.53972602739725872</v>
      </c>
    </row>
    <row r="224" spans="5:5" x14ac:dyDescent="0.35">
      <c r="E224" s="1">
        <f t="shared" ca="1" si="4"/>
        <v>0.54246575342465597</v>
      </c>
    </row>
    <row r="225" spans="5:5" x14ac:dyDescent="0.35">
      <c r="E225" s="1">
        <f t="shared" ca="1" si="4"/>
        <v>0.54520547945205322</v>
      </c>
    </row>
    <row r="226" spans="5:5" x14ac:dyDescent="0.35">
      <c r="E226" s="1">
        <f t="shared" ca="1" si="4"/>
        <v>0.54794520547945047</v>
      </c>
    </row>
    <row r="227" spans="5:5" x14ac:dyDescent="0.35">
      <c r="E227" s="1">
        <f t="shared" ca="1" si="4"/>
        <v>0.55068493150684772</v>
      </c>
    </row>
    <row r="228" spans="5:5" x14ac:dyDescent="0.35">
      <c r="E228" s="1">
        <f t="shared" ca="1" si="4"/>
        <v>0.55342465753424497</v>
      </c>
    </row>
    <row r="229" spans="5:5" x14ac:dyDescent="0.35">
      <c r="E229" s="1">
        <f t="shared" ca="1" si="4"/>
        <v>0.55616438356164222</v>
      </c>
    </row>
    <row r="230" spans="5:5" x14ac:dyDescent="0.35">
      <c r="E230" s="1">
        <f t="shared" ca="1" si="4"/>
        <v>0.55890410958903947</v>
      </c>
    </row>
    <row r="231" spans="5:5" x14ac:dyDescent="0.35">
      <c r="E231" s="1">
        <f t="shared" ca="1" si="4"/>
        <v>0.56164383561643672</v>
      </c>
    </row>
    <row r="232" spans="5:5" x14ac:dyDescent="0.35">
      <c r="E232" s="1">
        <f t="shared" ca="1" si="4"/>
        <v>0.56438356164383396</v>
      </c>
    </row>
    <row r="233" spans="5:5" x14ac:dyDescent="0.35">
      <c r="E233" s="1">
        <f t="shared" ca="1" si="4"/>
        <v>0.56712328767123121</v>
      </c>
    </row>
    <row r="234" spans="5:5" x14ac:dyDescent="0.35">
      <c r="E234" s="1">
        <f t="shared" ca="1" si="4"/>
        <v>0.56986301369862846</v>
      </c>
    </row>
    <row r="235" spans="5:5" x14ac:dyDescent="0.35">
      <c r="E235" s="1">
        <f t="shared" ca="1" si="4"/>
        <v>0.57260273972602571</v>
      </c>
    </row>
    <row r="236" spans="5:5" x14ac:dyDescent="0.35">
      <c r="E236" s="1">
        <f t="shared" ca="1" si="4"/>
        <v>0.57534246575342296</v>
      </c>
    </row>
    <row r="237" spans="5:5" x14ac:dyDescent="0.35">
      <c r="E237" s="1">
        <f t="shared" ca="1" si="4"/>
        <v>0.57808219178082021</v>
      </c>
    </row>
    <row r="238" spans="5:5" x14ac:dyDescent="0.35">
      <c r="E238" s="1">
        <f t="shared" ca="1" si="4"/>
        <v>0.58082191780821746</v>
      </c>
    </row>
    <row r="239" spans="5:5" x14ac:dyDescent="0.35">
      <c r="E239" s="1">
        <f t="shared" ca="1" si="4"/>
        <v>0.58356164383561471</v>
      </c>
    </row>
    <row r="240" spans="5:5" x14ac:dyDescent="0.35">
      <c r="E240" s="1">
        <f t="shared" ca="1" si="4"/>
        <v>0.58630136986301196</v>
      </c>
    </row>
    <row r="241" spans="5:5" x14ac:dyDescent="0.35">
      <c r="E241" s="1">
        <f t="shared" ca="1" si="4"/>
        <v>0.58904109589040921</v>
      </c>
    </row>
    <row r="242" spans="5:5" x14ac:dyDescent="0.35">
      <c r="E242" s="1">
        <f t="shared" ca="1" si="4"/>
        <v>0.59178082191780645</v>
      </c>
    </row>
    <row r="243" spans="5:5" x14ac:dyDescent="0.35">
      <c r="E243" s="1">
        <f t="shared" ca="1" si="4"/>
        <v>0.5945205479452037</v>
      </c>
    </row>
    <row r="244" spans="5:5" x14ac:dyDescent="0.35">
      <c r="E244" s="1">
        <f t="shared" ca="1" si="4"/>
        <v>0.59726027397260095</v>
      </c>
    </row>
    <row r="245" spans="5:5" x14ac:dyDescent="0.35">
      <c r="E245" s="1">
        <f t="shared" ca="1" si="4"/>
        <v>0.5999999999999982</v>
      </c>
    </row>
    <row r="246" spans="5:5" x14ac:dyDescent="0.35">
      <c r="E246" s="1">
        <f t="shared" ca="1" si="4"/>
        <v>0.60273972602739545</v>
      </c>
    </row>
    <row r="247" spans="5:5" x14ac:dyDescent="0.35">
      <c r="E247" s="1">
        <f t="shared" ca="1" si="4"/>
        <v>0.6054794520547927</v>
      </c>
    </row>
    <row r="248" spans="5:5" x14ac:dyDescent="0.35">
      <c r="E248" s="1">
        <f t="shared" ca="1" si="4"/>
        <v>0.60821917808218995</v>
      </c>
    </row>
    <row r="249" spans="5:5" x14ac:dyDescent="0.35">
      <c r="E249" s="1">
        <f t="shared" ca="1" si="4"/>
        <v>0.6109589041095872</v>
      </c>
    </row>
    <row r="250" spans="5:5" x14ac:dyDescent="0.35">
      <c r="E250" s="1">
        <f t="shared" ca="1" si="4"/>
        <v>0.61369863013698445</v>
      </c>
    </row>
    <row r="251" spans="5:5" x14ac:dyDescent="0.35">
      <c r="E251" s="1">
        <f t="shared" ca="1" si="4"/>
        <v>0.6164383561643817</v>
      </c>
    </row>
    <row r="252" spans="5:5" x14ac:dyDescent="0.35">
      <c r="E252" s="1">
        <f t="shared" ca="1" si="4"/>
        <v>0.61917808219177894</v>
      </c>
    </row>
    <row r="253" spans="5:5" x14ac:dyDescent="0.35">
      <c r="E253" s="1">
        <f t="shared" ca="1" si="4"/>
        <v>0.62191780821917619</v>
      </c>
    </row>
    <row r="254" spans="5:5" x14ac:dyDescent="0.35">
      <c r="E254" s="1">
        <f t="shared" ca="1" si="4"/>
        <v>0.62465753424657344</v>
      </c>
    </row>
    <row r="255" spans="5:5" x14ac:dyDescent="0.35">
      <c r="E255" s="1">
        <f t="shared" ca="1" si="4"/>
        <v>0.62739726027397069</v>
      </c>
    </row>
    <row r="256" spans="5:5" x14ac:dyDescent="0.35">
      <c r="E256" s="1">
        <f t="shared" ca="1" si="4"/>
        <v>0.63013698630136794</v>
      </c>
    </row>
    <row r="257" spans="5:5" x14ac:dyDescent="0.35">
      <c r="E257" s="1">
        <f t="shared" ca="1" si="4"/>
        <v>0.63287671232876519</v>
      </c>
    </row>
    <row r="258" spans="5:5" x14ac:dyDescent="0.35">
      <c r="E258" s="1">
        <f t="shared" ca="1" si="4"/>
        <v>0.63561643835616244</v>
      </c>
    </row>
    <row r="259" spans="5:5" x14ac:dyDescent="0.35">
      <c r="E259" s="1">
        <f t="shared" ca="1" si="4"/>
        <v>0.63835616438355969</v>
      </c>
    </row>
    <row r="260" spans="5:5" x14ac:dyDescent="0.35">
      <c r="E260" s="1">
        <f t="shared" ca="1" si="4"/>
        <v>0.64109589041095694</v>
      </c>
    </row>
    <row r="261" spans="5:5" x14ac:dyDescent="0.35">
      <c r="E261" s="1">
        <f t="shared" ca="1" si="4"/>
        <v>0.64383561643835419</v>
      </c>
    </row>
    <row r="262" spans="5:5" x14ac:dyDescent="0.35">
      <c r="E262" s="1">
        <f t="shared" ca="1" si="4"/>
        <v>0.64657534246575143</v>
      </c>
    </row>
    <row r="263" spans="5:5" x14ac:dyDescent="0.35">
      <c r="E263" s="1">
        <f t="shared" ca="1" si="4"/>
        <v>0.64931506849314868</v>
      </c>
    </row>
    <row r="264" spans="5:5" x14ac:dyDescent="0.35">
      <c r="E264" s="1">
        <f t="shared" ca="1" si="4"/>
        <v>0.65205479452054593</v>
      </c>
    </row>
    <row r="265" spans="5:5" x14ac:dyDescent="0.35">
      <c r="E265" s="1">
        <f t="shared" ca="1" si="4"/>
        <v>0.65479452054794318</v>
      </c>
    </row>
    <row r="266" spans="5:5" x14ac:dyDescent="0.35">
      <c r="E266" s="1">
        <f t="shared" ca="1" si="4"/>
        <v>0.65753424657534043</v>
      </c>
    </row>
    <row r="267" spans="5:5" x14ac:dyDescent="0.35">
      <c r="E267" s="1">
        <f t="shared" ca="1" si="4"/>
        <v>0.66027397260273768</v>
      </c>
    </row>
    <row r="268" spans="5:5" x14ac:dyDescent="0.35">
      <c r="E268" s="1">
        <f t="shared" ca="1" si="4"/>
        <v>0.66301369863013493</v>
      </c>
    </row>
    <row r="269" spans="5:5" x14ac:dyDescent="0.35">
      <c r="E269" s="1">
        <f t="shared" ca="1" si="4"/>
        <v>0.66575342465753218</v>
      </c>
    </row>
    <row r="270" spans="5:5" x14ac:dyDescent="0.35">
      <c r="E270" s="1">
        <f t="shared" ca="1" si="4"/>
        <v>0.66849315068492943</v>
      </c>
    </row>
    <row r="271" spans="5:5" x14ac:dyDescent="0.35">
      <c r="E271" s="1">
        <f t="shared" ca="1" si="4"/>
        <v>0.67123287671232668</v>
      </c>
    </row>
    <row r="272" spans="5:5" x14ac:dyDescent="0.35">
      <c r="E272" s="1">
        <f t="shared" ca="1" si="4"/>
        <v>0.67397260273972392</v>
      </c>
    </row>
    <row r="273" spans="5:5" x14ac:dyDescent="0.35">
      <c r="E273" s="1">
        <f t="shared" ca="1" si="4"/>
        <v>0.67671232876712117</v>
      </c>
    </row>
    <row r="274" spans="5:5" x14ac:dyDescent="0.35">
      <c r="E274" s="1">
        <f t="shared" ca="1" si="4"/>
        <v>0.67945205479451842</v>
      </c>
    </row>
    <row r="275" spans="5:5" x14ac:dyDescent="0.35">
      <c r="E275" s="1">
        <f t="shared" ca="1" si="4"/>
        <v>0.68219178082191567</v>
      </c>
    </row>
    <row r="276" spans="5:5" x14ac:dyDescent="0.35">
      <c r="E276" s="1">
        <f t="shared" ca="1" si="4"/>
        <v>0.68493150684931292</v>
      </c>
    </row>
    <row r="277" spans="5:5" x14ac:dyDescent="0.35">
      <c r="E277" s="1">
        <f t="shared" ca="1" si="4"/>
        <v>0.68767123287671017</v>
      </c>
    </row>
    <row r="278" spans="5:5" x14ac:dyDescent="0.35">
      <c r="E278" s="1">
        <f t="shared" ca="1" si="4"/>
        <v>0.69041095890410742</v>
      </c>
    </row>
    <row r="279" spans="5:5" x14ac:dyDescent="0.35">
      <c r="E279" s="1">
        <f t="shared" ca="1" si="4"/>
        <v>0.69315068493150467</v>
      </c>
    </row>
    <row r="280" spans="5:5" x14ac:dyDescent="0.35">
      <c r="E280" s="1">
        <f t="shared" ca="1" si="4"/>
        <v>0.69589041095890192</v>
      </c>
    </row>
    <row r="281" spans="5:5" x14ac:dyDescent="0.35">
      <c r="E281" s="1">
        <f t="shared" ca="1" si="4"/>
        <v>0.69863013698629917</v>
      </c>
    </row>
    <row r="282" spans="5:5" x14ac:dyDescent="0.35">
      <c r="E282" s="1">
        <f t="shared" ca="1" si="4"/>
        <v>0.70136986301369642</v>
      </c>
    </row>
    <row r="283" spans="5:5" x14ac:dyDescent="0.35">
      <c r="E283" s="1">
        <f t="shared" ca="1" si="4"/>
        <v>0.70410958904109366</v>
      </c>
    </row>
    <row r="284" spans="5:5" x14ac:dyDescent="0.35">
      <c r="E284" s="1">
        <f t="shared" ca="1" si="4"/>
        <v>0.70684931506849091</v>
      </c>
    </row>
    <row r="285" spans="5:5" x14ac:dyDescent="0.35">
      <c r="E285" s="1">
        <f t="shared" ref="E285:E348" ca="1" si="5">E284+1/365</f>
        <v>0.70958904109588816</v>
      </c>
    </row>
    <row r="286" spans="5:5" x14ac:dyDescent="0.35">
      <c r="E286" s="1">
        <f t="shared" ca="1" si="5"/>
        <v>0.71232876712328541</v>
      </c>
    </row>
    <row r="287" spans="5:5" x14ac:dyDescent="0.35">
      <c r="E287" s="1">
        <f t="shared" ca="1" si="5"/>
        <v>0.71506849315068266</v>
      </c>
    </row>
    <row r="288" spans="5:5" x14ac:dyDescent="0.35">
      <c r="E288" s="1">
        <f t="shared" ca="1" si="5"/>
        <v>0.71780821917807991</v>
      </c>
    </row>
    <row r="289" spans="5:5" x14ac:dyDescent="0.35">
      <c r="E289" s="1">
        <f t="shared" ca="1" si="5"/>
        <v>0.72054794520547716</v>
      </c>
    </row>
    <row r="290" spans="5:5" x14ac:dyDescent="0.35">
      <c r="E290" s="1">
        <f t="shared" ca="1" si="5"/>
        <v>0.72328767123287441</v>
      </c>
    </row>
    <row r="291" spans="5:5" x14ac:dyDescent="0.35">
      <c r="E291" s="1">
        <f t="shared" ca="1" si="5"/>
        <v>0.72602739726027166</v>
      </c>
    </row>
    <row r="292" spans="5:5" x14ac:dyDescent="0.35">
      <c r="E292" s="1">
        <f t="shared" ca="1" si="5"/>
        <v>0.72876712328766891</v>
      </c>
    </row>
    <row r="293" spans="5:5" x14ac:dyDescent="0.35">
      <c r="E293" s="1">
        <f t="shared" ca="1" si="5"/>
        <v>0.73150684931506615</v>
      </c>
    </row>
    <row r="294" spans="5:5" x14ac:dyDescent="0.35">
      <c r="E294" s="1">
        <f t="shared" ca="1" si="5"/>
        <v>0.7342465753424634</v>
      </c>
    </row>
    <row r="295" spans="5:5" x14ac:dyDescent="0.35">
      <c r="E295" s="1">
        <f t="shared" ca="1" si="5"/>
        <v>0.73698630136986065</v>
      </c>
    </row>
    <row r="296" spans="5:5" x14ac:dyDescent="0.35">
      <c r="E296" s="1">
        <f t="shared" ca="1" si="5"/>
        <v>0.7397260273972579</v>
      </c>
    </row>
    <row r="297" spans="5:5" x14ac:dyDescent="0.35">
      <c r="E297" s="1">
        <f t="shared" ca="1" si="5"/>
        <v>0.74246575342465515</v>
      </c>
    </row>
    <row r="298" spans="5:5" x14ac:dyDescent="0.35">
      <c r="E298" s="1">
        <f t="shared" ca="1" si="5"/>
        <v>0.7452054794520524</v>
      </c>
    </row>
    <row r="299" spans="5:5" x14ac:dyDescent="0.35">
      <c r="E299" s="1">
        <f t="shared" ca="1" si="5"/>
        <v>0.74794520547944965</v>
      </c>
    </row>
    <row r="300" spans="5:5" x14ac:dyDescent="0.35">
      <c r="E300" s="1">
        <f t="shared" ca="1" si="5"/>
        <v>0.7506849315068469</v>
      </c>
    </row>
    <row r="301" spans="5:5" x14ac:dyDescent="0.35">
      <c r="E301" s="1">
        <f t="shared" ca="1" si="5"/>
        <v>0.75342465753424415</v>
      </c>
    </row>
    <row r="302" spans="5:5" x14ac:dyDescent="0.35">
      <c r="E302" s="1">
        <f t="shared" ca="1" si="5"/>
        <v>0.7561643835616414</v>
      </c>
    </row>
    <row r="303" spans="5:5" x14ac:dyDescent="0.35">
      <c r="E303" s="1">
        <f t="shared" ca="1" si="5"/>
        <v>0.75890410958903864</v>
      </c>
    </row>
    <row r="304" spans="5:5" x14ac:dyDescent="0.35">
      <c r="E304" s="1">
        <f t="shared" ca="1" si="5"/>
        <v>0.76164383561643589</v>
      </c>
    </row>
    <row r="305" spans="5:5" x14ac:dyDescent="0.35">
      <c r="E305" s="1">
        <f t="shared" ca="1" si="5"/>
        <v>0.76438356164383314</v>
      </c>
    </row>
    <row r="306" spans="5:5" x14ac:dyDescent="0.35">
      <c r="E306" s="1">
        <f t="shared" ca="1" si="5"/>
        <v>0.76712328767123039</v>
      </c>
    </row>
    <row r="307" spans="5:5" x14ac:dyDescent="0.35">
      <c r="E307" s="1">
        <f t="shared" ca="1" si="5"/>
        <v>0.76986301369862764</v>
      </c>
    </row>
    <row r="308" spans="5:5" x14ac:dyDescent="0.35">
      <c r="E308" s="1">
        <f t="shared" ca="1" si="5"/>
        <v>0.77260273972602489</v>
      </c>
    </row>
    <row r="309" spans="5:5" x14ac:dyDescent="0.35">
      <c r="E309" s="1">
        <f t="shared" ca="1" si="5"/>
        <v>0.77534246575342214</v>
      </c>
    </row>
    <row r="310" spans="5:5" x14ac:dyDescent="0.35">
      <c r="E310" s="1">
        <f t="shared" ca="1" si="5"/>
        <v>0.77808219178081939</v>
      </c>
    </row>
    <row r="311" spans="5:5" x14ac:dyDescent="0.35">
      <c r="E311" s="1">
        <f t="shared" ca="1" si="5"/>
        <v>0.78082191780821664</v>
      </c>
    </row>
    <row r="312" spans="5:5" x14ac:dyDescent="0.35">
      <c r="E312" s="1">
        <f t="shared" ca="1" si="5"/>
        <v>0.78356164383561389</v>
      </c>
    </row>
    <row r="313" spans="5:5" x14ac:dyDescent="0.35">
      <c r="E313" s="1">
        <f t="shared" ca="1" si="5"/>
        <v>0.78630136986301113</v>
      </c>
    </row>
    <row r="314" spans="5:5" x14ac:dyDescent="0.35">
      <c r="E314" s="1">
        <f t="shared" ca="1" si="5"/>
        <v>0.78904109589040838</v>
      </c>
    </row>
    <row r="315" spans="5:5" x14ac:dyDescent="0.35">
      <c r="E315" s="1">
        <f t="shared" ca="1" si="5"/>
        <v>0.79178082191780563</v>
      </c>
    </row>
    <row r="316" spans="5:5" x14ac:dyDescent="0.35">
      <c r="E316" s="1">
        <f t="shared" ca="1" si="5"/>
        <v>0.79452054794520288</v>
      </c>
    </row>
    <row r="317" spans="5:5" x14ac:dyDescent="0.35">
      <c r="E317" s="1">
        <f t="shared" ca="1" si="5"/>
        <v>0.79726027397260013</v>
      </c>
    </row>
    <row r="318" spans="5:5" x14ac:dyDescent="0.35">
      <c r="E318" s="1">
        <f t="shared" ca="1" si="5"/>
        <v>0.79999999999999738</v>
      </c>
    </row>
    <row r="319" spans="5:5" x14ac:dyDescent="0.35">
      <c r="E319" s="1">
        <f t="shared" ca="1" si="5"/>
        <v>0.80273972602739463</v>
      </c>
    </row>
    <row r="320" spans="5:5" x14ac:dyDescent="0.35">
      <c r="E320" s="1">
        <f t="shared" ca="1" si="5"/>
        <v>0.80547945205479188</v>
      </c>
    </row>
    <row r="321" spans="5:5" x14ac:dyDescent="0.35">
      <c r="E321" s="1">
        <f t="shared" ca="1" si="5"/>
        <v>0.80821917808218913</v>
      </c>
    </row>
    <row r="322" spans="5:5" x14ac:dyDescent="0.35">
      <c r="E322" s="1">
        <f t="shared" ca="1" si="5"/>
        <v>0.81095890410958638</v>
      </c>
    </row>
    <row r="323" spans="5:5" x14ac:dyDescent="0.35">
      <c r="E323" s="1">
        <f t="shared" ca="1" si="5"/>
        <v>0.81369863013698362</v>
      </c>
    </row>
    <row r="324" spans="5:5" x14ac:dyDescent="0.35">
      <c r="E324" s="1">
        <f t="shared" ca="1" si="5"/>
        <v>0.81643835616438087</v>
      </c>
    </row>
    <row r="325" spans="5:5" x14ac:dyDescent="0.35">
      <c r="E325" s="1">
        <f t="shared" ca="1" si="5"/>
        <v>0.81917808219177812</v>
      </c>
    </row>
    <row r="326" spans="5:5" x14ac:dyDescent="0.35">
      <c r="E326" s="1">
        <f t="shared" ca="1" si="5"/>
        <v>0.82191780821917537</v>
      </c>
    </row>
    <row r="327" spans="5:5" x14ac:dyDescent="0.35">
      <c r="E327" s="1">
        <f t="shared" ca="1" si="5"/>
        <v>0.82465753424657262</v>
      </c>
    </row>
    <row r="328" spans="5:5" x14ac:dyDescent="0.35">
      <c r="E328" s="1">
        <f t="shared" ca="1" si="5"/>
        <v>0.82739726027396987</v>
      </c>
    </row>
    <row r="329" spans="5:5" x14ac:dyDescent="0.35">
      <c r="E329" s="1">
        <f t="shared" ca="1" si="5"/>
        <v>0.83013698630136712</v>
      </c>
    </row>
    <row r="330" spans="5:5" x14ac:dyDescent="0.35">
      <c r="E330" s="1">
        <f t="shared" ca="1" si="5"/>
        <v>0.83287671232876437</v>
      </c>
    </row>
    <row r="331" spans="5:5" x14ac:dyDescent="0.35">
      <c r="E331" s="1">
        <f t="shared" ca="1" si="5"/>
        <v>0.83561643835616162</v>
      </c>
    </row>
    <row r="332" spans="5:5" x14ac:dyDescent="0.35">
      <c r="E332" s="1">
        <f t="shared" ca="1" si="5"/>
        <v>0.83835616438355887</v>
      </c>
    </row>
    <row r="333" spans="5:5" x14ac:dyDescent="0.35">
      <c r="E333" s="1">
        <f t="shared" ca="1" si="5"/>
        <v>0.84109589041095612</v>
      </c>
    </row>
    <row r="334" spans="5:5" x14ac:dyDescent="0.35">
      <c r="E334" s="1">
        <f t="shared" ca="1" si="5"/>
        <v>0.84383561643835336</v>
      </c>
    </row>
    <row r="335" spans="5:5" x14ac:dyDescent="0.35">
      <c r="E335" s="1">
        <f t="shared" ca="1" si="5"/>
        <v>0.84657534246575061</v>
      </c>
    </row>
    <row r="336" spans="5:5" x14ac:dyDescent="0.35">
      <c r="E336" s="1">
        <f t="shared" ca="1" si="5"/>
        <v>0.84931506849314786</v>
      </c>
    </row>
    <row r="337" spans="5:5" x14ac:dyDescent="0.35">
      <c r="E337" s="1">
        <f t="shared" ca="1" si="5"/>
        <v>0.85205479452054511</v>
      </c>
    </row>
    <row r="338" spans="5:5" x14ac:dyDescent="0.35">
      <c r="E338" s="1">
        <f t="shared" ca="1" si="5"/>
        <v>0.85479452054794236</v>
      </c>
    </row>
    <row r="339" spans="5:5" x14ac:dyDescent="0.35">
      <c r="E339" s="1">
        <f t="shared" ca="1" si="5"/>
        <v>0.85753424657533961</v>
      </c>
    </row>
    <row r="340" spans="5:5" x14ac:dyDescent="0.35">
      <c r="E340" s="1">
        <f t="shared" ca="1" si="5"/>
        <v>0.86027397260273686</v>
      </c>
    </row>
    <row r="341" spans="5:5" x14ac:dyDescent="0.35">
      <c r="E341" s="1">
        <f t="shared" ca="1" si="5"/>
        <v>0.86301369863013411</v>
      </c>
    </row>
    <row r="342" spans="5:5" x14ac:dyDescent="0.35">
      <c r="E342" s="1">
        <f t="shared" ca="1" si="5"/>
        <v>0.86575342465753136</v>
      </c>
    </row>
    <row r="343" spans="5:5" x14ac:dyDescent="0.35">
      <c r="E343" s="1">
        <f t="shared" ca="1" si="5"/>
        <v>0.86849315068492861</v>
      </c>
    </row>
    <row r="344" spans="5:5" x14ac:dyDescent="0.35">
      <c r="E344" s="1">
        <f t="shared" ca="1" si="5"/>
        <v>0.87123287671232585</v>
      </c>
    </row>
    <row r="345" spans="5:5" x14ac:dyDescent="0.35">
      <c r="E345" s="1">
        <f t="shared" ca="1" si="5"/>
        <v>0.8739726027397231</v>
      </c>
    </row>
    <row r="346" spans="5:5" x14ac:dyDescent="0.35">
      <c r="E346" s="1">
        <f t="shared" ca="1" si="5"/>
        <v>0.87671232876712035</v>
      </c>
    </row>
    <row r="347" spans="5:5" x14ac:dyDescent="0.35">
      <c r="E347" s="1">
        <f t="shared" ca="1" si="5"/>
        <v>0.8794520547945176</v>
      </c>
    </row>
    <row r="348" spans="5:5" x14ac:dyDescent="0.35">
      <c r="E348" s="1">
        <f t="shared" ca="1" si="5"/>
        <v>0.88219178082191485</v>
      </c>
    </row>
    <row r="349" spans="5:5" x14ac:dyDescent="0.35">
      <c r="E349" s="1">
        <f t="shared" ref="E349:E391" ca="1" si="6">E348+1/365</f>
        <v>0.8849315068493121</v>
      </c>
    </row>
    <row r="350" spans="5:5" x14ac:dyDescent="0.35">
      <c r="E350" s="1">
        <f t="shared" ca="1" si="6"/>
        <v>0.88767123287670935</v>
      </c>
    </row>
    <row r="351" spans="5:5" x14ac:dyDescent="0.35">
      <c r="E351" s="1">
        <f t="shared" ca="1" si="6"/>
        <v>0.8904109589041066</v>
      </c>
    </row>
    <row r="352" spans="5:5" x14ac:dyDescent="0.35">
      <c r="E352" s="1">
        <f t="shared" ca="1" si="6"/>
        <v>0.89315068493150385</v>
      </c>
    </row>
    <row r="353" spans="5:5" x14ac:dyDescent="0.35">
      <c r="E353" s="1">
        <f t="shared" ca="1" si="6"/>
        <v>0.8958904109589011</v>
      </c>
    </row>
    <row r="354" spans="5:5" x14ac:dyDescent="0.35">
      <c r="E354" s="1">
        <f t="shared" ca="1" si="6"/>
        <v>0.89863013698629834</v>
      </c>
    </row>
    <row r="355" spans="5:5" x14ac:dyDescent="0.35">
      <c r="E355" s="1">
        <f t="shared" ca="1" si="6"/>
        <v>0.90136986301369559</v>
      </c>
    </row>
    <row r="356" spans="5:5" x14ac:dyDescent="0.35">
      <c r="E356" s="1">
        <f t="shared" ca="1" si="6"/>
        <v>0.90410958904109284</v>
      </c>
    </row>
    <row r="357" spans="5:5" x14ac:dyDescent="0.35">
      <c r="E357" s="1">
        <f t="shared" ca="1" si="6"/>
        <v>0.90684931506849009</v>
      </c>
    </row>
    <row r="358" spans="5:5" x14ac:dyDescent="0.35">
      <c r="E358" s="1">
        <f t="shared" ca="1" si="6"/>
        <v>0.90958904109588734</v>
      </c>
    </row>
    <row r="359" spans="5:5" x14ac:dyDescent="0.35">
      <c r="E359" s="1">
        <f t="shared" ca="1" si="6"/>
        <v>0.91232876712328459</v>
      </c>
    </row>
    <row r="360" spans="5:5" x14ac:dyDescent="0.35">
      <c r="E360" s="1">
        <f t="shared" ca="1" si="6"/>
        <v>0.91506849315068184</v>
      </c>
    </row>
    <row r="361" spans="5:5" x14ac:dyDescent="0.35">
      <c r="E361" s="1">
        <f t="shared" ca="1" si="6"/>
        <v>0.91780821917807909</v>
      </c>
    </row>
    <row r="362" spans="5:5" x14ac:dyDescent="0.35">
      <c r="E362" s="1">
        <f t="shared" ca="1" si="6"/>
        <v>0.92054794520547634</v>
      </c>
    </row>
    <row r="363" spans="5:5" x14ac:dyDescent="0.35">
      <c r="E363" s="1">
        <f t="shared" ca="1" si="6"/>
        <v>0.92328767123287359</v>
      </c>
    </row>
    <row r="364" spans="5:5" x14ac:dyDescent="0.35">
      <c r="E364" s="1">
        <f t="shared" ca="1" si="6"/>
        <v>0.92602739726027083</v>
      </c>
    </row>
    <row r="365" spans="5:5" x14ac:dyDescent="0.35">
      <c r="E365" s="1">
        <f t="shared" ca="1" si="6"/>
        <v>0.92876712328766808</v>
      </c>
    </row>
    <row r="366" spans="5:5" x14ac:dyDescent="0.35">
      <c r="E366" s="1">
        <f t="shared" ca="1" si="6"/>
        <v>0.93150684931506533</v>
      </c>
    </row>
    <row r="367" spans="5:5" x14ac:dyDescent="0.35">
      <c r="E367" s="1">
        <f t="shared" ca="1" si="6"/>
        <v>0.93424657534246258</v>
      </c>
    </row>
    <row r="368" spans="5:5" x14ac:dyDescent="0.35">
      <c r="E368" s="1">
        <f t="shared" ca="1" si="6"/>
        <v>0.93698630136985983</v>
      </c>
    </row>
    <row r="369" spans="5:5" x14ac:dyDescent="0.35">
      <c r="E369" s="1">
        <f t="shared" ca="1" si="6"/>
        <v>0.93972602739725708</v>
      </c>
    </row>
    <row r="370" spans="5:5" x14ac:dyDescent="0.35">
      <c r="E370" s="1">
        <f t="shared" ca="1" si="6"/>
        <v>0.94246575342465433</v>
      </c>
    </row>
    <row r="371" spans="5:5" x14ac:dyDescent="0.35">
      <c r="E371" s="1">
        <f t="shared" ca="1" si="6"/>
        <v>0.94520547945205158</v>
      </c>
    </row>
    <row r="372" spans="5:5" x14ac:dyDescent="0.35">
      <c r="E372" s="1">
        <f t="shared" ca="1" si="6"/>
        <v>0.94794520547944883</v>
      </c>
    </row>
    <row r="373" spans="5:5" x14ac:dyDescent="0.35">
      <c r="E373" s="1">
        <f t="shared" ca="1" si="6"/>
        <v>0.95068493150684608</v>
      </c>
    </row>
    <row r="374" spans="5:5" x14ac:dyDescent="0.35">
      <c r="E374" s="1">
        <f t="shared" ca="1" si="6"/>
        <v>0.95342465753424332</v>
      </c>
    </row>
    <row r="375" spans="5:5" x14ac:dyDescent="0.35">
      <c r="E375" s="1">
        <f t="shared" ca="1" si="6"/>
        <v>0.95616438356164057</v>
      </c>
    </row>
    <row r="376" spans="5:5" x14ac:dyDescent="0.35">
      <c r="E376" s="1">
        <f t="shared" ca="1" si="6"/>
        <v>0.95890410958903782</v>
      </c>
    </row>
    <row r="377" spans="5:5" x14ac:dyDescent="0.35">
      <c r="E377" s="1">
        <f t="shared" ca="1" si="6"/>
        <v>0.96164383561643507</v>
      </c>
    </row>
    <row r="378" spans="5:5" x14ac:dyDescent="0.35">
      <c r="E378" s="1">
        <f t="shared" ca="1" si="6"/>
        <v>0.96438356164383232</v>
      </c>
    </row>
    <row r="379" spans="5:5" x14ac:dyDescent="0.35">
      <c r="E379" s="1">
        <f t="shared" ca="1" si="6"/>
        <v>0.96712328767122957</v>
      </c>
    </row>
    <row r="380" spans="5:5" x14ac:dyDescent="0.35">
      <c r="E380" s="1">
        <f t="shared" ca="1" si="6"/>
        <v>0.96986301369862682</v>
      </c>
    </row>
    <row r="381" spans="5:5" x14ac:dyDescent="0.35">
      <c r="E381" s="1">
        <f t="shared" ca="1" si="6"/>
        <v>0.97260273972602407</v>
      </c>
    </row>
    <row r="382" spans="5:5" x14ac:dyDescent="0.35">
      <c r="E382" s="1">
        <f t="shared" ca="1" si="6"/>
        <v>0.97534246575342132</v>
      </c>
    </row>
    <row r="383" spans="5:5" x14ac:dyDescent="0.35">
      <c r="E383" s="1">
        <f t="shared" ca="1" si="6"/>
        <v>0.97808219178081857</v>
      </c>
    </row>
    <row r="384" spans="5:5" x14ac:dyDescent="0.35">
      <c r="E384" s="1">
        <f t="shared" ca="1" si="6"/>
        <v>0.98082191780821582</v>
      </c>
    </row>
    <row r="385" spans="5:5" x14ac:dyDescent="0.35">
      <c r="E385" s="1">
        <f t="shared" ca="1" si="6"/>
        <v>0.98356164383561306</v>
      </c>
    </row>
    <row r="386" spans="5:5" x14ac:dyDescent="0.35">
      <c r="E386" s="1">
        <f t="shared" ca="1" si="6"/>
        <v>0.98630136986301031</v>
      </c>
    </row>
    <row r="387" spans="5:5" x14ac:dyDescent="0.35">
      <c r="E387" s="1">
        <f t="shared" ca="1" si="6"/>
        <v>0.98904109589040756</v>
      </c>
    </row>
    <row r="388" spans="5:5" x14ac:dyDescent="0.35">
      <c r="E388" s="1">
        <f t="shared" ca="1" si="6"/>
        <v>0.99178082191780481</v>
      </c>
    </row>
    <row r="389" spans="5:5" x14ac:dyDescent="0.35">
      <c r="E389" s="1">
        <f t="shared" ca="1" si="6"/>
        <v>0.99452054794520206</v>
      </c>
    </row>
    <row r="390" spans="5:5" x14ac:dyDescent="0.35">
      <c r="E390" s="1">
        <f t="shared" ca="1" si="6"/>
        <v>0.99726027397259931</v>
      </c>
    </row>
    <row r="391" spans="5:5" x14ac:dyDescent="0.35">
      <c r="E391" s="1">
        <f t="shared" ca="1" si="6"/>
        <v>0.99999999999999656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S40"/>
  <sheetViews>
    <sheetView tabSelected="1" workbookViewId="0"/>
  </sheetViews>
  <sheetFormatPr defaultColWidth="9.1796875" defaultRowHeight="14.5" x14ac:dyDescent="0.35"/>
  <cols>
    <col min="1" max="1" width="4.7265625" style="1" customWidth="1"/>
    <col min="2" max="2" width="18.7265625" style="1" customWidth="1"/>
    <col min="3" max="3" width="25.54296875" style="1" bestFit="1" customWidth="1"/>
    <col min="4" max="4" width="6.7265625" style="1" customWidth="1"/>
    <col min="5" max="5" width="20.7265625" style="1" customWidth="1"/>
    <col min="6" max="6" width="8.36328125" style="1" bestFit="1" customWidth="1"/>
    <col min="7" max="7" width="6.54296875" style="1" customWidth="1"/>
    <col min="8" max="8" width="14.81640625" style="1" customWidth="1"/>
    <col min="9" max="9" width="9.26953125" style="1" customWidth="1"/>
    <col min="10" max="10" width="9.1796875" style="1"/>
    <col min="11" max="11" width="18" style="1" customWidth="1"/>
    <col min="12" max="12" width="9.1796875" style="1"/>
    <col min="13" max="13" width="4.36328125" style="1" customWidth="1"/>
    <col min="14" max="18" width="9.1796875" style="1"/>
    <col min="19" max="19" width="12.7265625" style="1" bestFit="1" customWidth="1"/>
    <col min="20" max="16384" width="9.1796875" style="1"/>
  </cols>
  <sheetData>
    <row r="1" spans="2:19" ht="15" thickBot="1" x14ac:dyDescent="0.4">
      <c r="S1" s="1" t="s">
        <v>114</v>
      </c>
    </row>
    <row r="2" spans="2:19" ht="15" thickBot="1" x14ac:dyDescent="0.4">
      <c r="B2" s="26" t="s">
        <v>103</v>
      </c>
      <c r="C2" s="25" t="s">
        <v>121</v>
      </c>
      <c r="S2" s="1" t="str">
        <f ca="1">_xll.CheckIfAddInLoaded()</f>
        <v>true</v>
      </c>
    </row>
    <row r="3" spans="2:19" ht="15" thickBot="1" x14ac:dyDescent="0.4">
      <c r="B3" s="26" t="s">
        <v>98</v>
      </c>
      <c r="C3" s="25" t="s">
        <v>122</v>
      </c>
    </row>
    <row r="4" spans="2:19" ht="15" thickBot="1" x14ac:dyDescent="0.4">
      <c r="B4" s="26" t="s">
        <v>110</v>
      </c>
      <c r="C4" s="25">
        <f ca="1">C8+C21+C28+C35</f>
        <v>46.51428571428572</v>
      </c>
      <c r="D4" s="32" t="s">
        <v>111</v>
      </c>
    </row>
    <row r="5" spans="2:19" ht="15" thickBot="1" x14ac:dyDescent="0.4">
      <c r="B5" s="26" t="s">
        <v>109</v>
      </c>
      <c r="C5" s="25">
        <v>0</v>
      </c>
      <c r="D5" s="44">
        <f ca="1">-C5*0.05*C4</f>
        <v>0</v>
      </c>
    </row>
    <row r="6" spans="2:19" ht="15" thickBot="1" x14ac:dyDescent="0.4">
      <c r="B6" s="26" t="s">
        <v>108</v>
      </c>
      <c r="C6" s="43">
        <f ca="1">FLOOR(C4-C5*0.05*C4,1)</f>
        <v>46</v>
      </c>
      <c r="D6" s="32">
        <f ca="1">C6/80</f>
        <v>0.57499999999999996</v>
      </c>
    </row>
    <row r="7" spans="2:19" ht="15" thickBot="1" x14ac:dyDescent="0.4"/>
    <row r="8" spans="2:19" ht="15" thickBot="1" x14ac:dyDescent="0.4">
      <c r="B8" s="26" t="s">
        <v>107</v>
      </c>
      <c r="C8" s="25">
        <f ca="1">C19+F19+I14+L17+O17</f>
        <v>18.514285714285716</v>
      </c>
      <c r="D8" s="32">
        <f ca="1">C8/30</f>
        <v>0.61714285714285722</v>
      </c>
    </row>
    <row r="9" spans="2:19" x14ac:dyDescent="0.35">
      <c r="B9" s="10" t="s">
        <v>52</v>
      </c>
      <c r="C9" s="9" t="s">
        <v>46</v>
      </c>
      <c r="E9" s="10" t="s">
        <v>74</v>
      </c>
      <c r="F9" s="9" t="s">
        <v>46</v>
      </c>
      <c r="H9" s="10" t="s">
        <v>96</v>
      </c>
      <c r="I9" s="9" t="s">
        <v>46</v>
      </c>
      <c r="K9" s="10" t="s">
        <v>79</v>
      </c>
      <c r="L9" s="9" t="s">
        <v>46</v>
      </c>
      <c r="N9" s="10" t="s">
        <v>78</v>
      </c>
      <c r="O9" s="9" t="s">
        <v>46</v>
      </c>
    </row>
    <row r="10" spans="2:19" x14ac:dyDescent="0.35">
      <c r="B10" s="27" t="s">
        <v>53</v>
      </c>
      <c r="C10" s="4" t="b">
        <f ca="1">HestonFormula!E25</f>
        <v>1</v>
      </c>
      <c r="E10" s="27" t="s">
        <v>75</v>
      </c>
      <c r="F10" s="4" t="b">
        <f ca="1">HestonCallMC!H12</f>
        <v>1</v>
      </c>
      <c r="H10" s="2" t="s">
        <v>97</v>
      </c>
      <c r="I10" s="3" t="b">
        <f ca="1">Calibration!T14</f>
        <v>0</v>
      </c>
      <c r="K10" s="27" t="s">
        <v>89</v>
      </c>
      <c r="L10" s="4" t="b">
        <f ca="1">AsianMC!C22</f>
        <v>1</v>
      </c>
      <c r="N10" s="27" t="s">
        <v>81</v>
      </c>
      <c r="O10" s="4" t="b">
        <f ca="1">LookbackMC!C27</f>
        <v>1</v>
      </c>
    </row>
    <row r="11" spans="2:19" x14ac:dyDescent="0.35">
      <c r="B11" s="27" t="s">
        <v>65</v>
      </c>
      <c r="C11" s="4" t="b">
        <f ca="1">HestonFormula!R29</f>
        <v>0</v>
      </c>
      <c r="E11" s="27" t="s">
        <v>65</v>
      </c>
      <c r="F11" s="4" t="b">
        <f ca="1">HestonCallMC!Q10</f>
        <v>1</v>
      </c>
      <c r="H11" s="27" t="s">
        <v>101</v>
      </c>
      <c r="I11" s="4" t="b">
        <f ca="1">Calibration!T37</f>
        <v>0</v>
      </c>
      <c r="K11" s="27" t="s">
        <v>90</v>
      </c>
      <c r="L11" s="4" t="b">
        <f ca="1">AsianMC!K17</f>
        <v>1</v>
      </c>
      <c r="N11" s="27" t="s">
        <v>65</v>
      </c>
      <c r="O11" s="4" t="b">
        <f ca="1">LookbackMC!Q16</f>
        <v>1</v>
      </c>
    </row>
    <row r="12" spans="2:19" x14ac:dyDescent="0.35">
      <c r="B12" s="27" t="s">
        <v>64</v>
      </c>
      <c r="C12" s="4" t="b">
        <f ca="1">HestonFormula!Y29</f>
        <v>1</v>
      </c>
      <c r="E12" s="27" t="s">
        <v>64</v>
      </c>
      <c r="F12" s="4" t="b">
        <f ca="1">HestonCallMC!Q11</f>
        <v>1</v>
      </c>
      <c r="H12" s="27"/>
      <c r="I12" s="4"/>
      <c r="K12" s="27" t="s">
        <v>91</v>
      </c>
      <c r="L12" s="4" t="b">
        <f ca="1">AsianMC!K21</f>
        <v>0</v>
      </c>
      <c r="N12" s="27" t="s">
        <v>64</v>
      </c>
      <c r="O12" s="4" t="b">
        <f ca="1">LookbackMC!Q17</f>
        <v>1</v>
      </c>
    </row>
    <row r="13" spans="2:19" x14ac:dyDescent="0.35">
      <c r="B13" s="27" t="s">
        <v>63</v>
      </c>
      <c r="C13" s="4" t="b">
        <f ca="1">HestonFormula!R58</f>
        <v>0</v>
      </c>
      <c r="E13" s="27" t="s">
        <v>62</v>
      </c>
      <c r="F13" s="4" t="b">
        <f ca="1">HestonCallMC!Q12</f>
        <v>1</v>
      </c>
      <c r="H13" s="30" t="s">
        <v>76</v>
      </c>
      <c r="I13" s="5">
        <v>6</v>
      </c>
      <c r="K13" s="27" t="s">
        <v>92</v>
      </c>
      <c r="L13" s="28" t="b">
        <f ca="1">AsianMC!P14</f>
        <v>1</v>
      </c>
      <c r="N13" s="27" t="s">
        <v>83</v>
      </c>
      <c r="O13" s="4" t="b">
        <f ca="1">LookbackMC!Q18</f>
        <v>1</v>
      </c>
    </row>
    <row r="14" spans="2:19" x14ac:dyDescent="0.35">
      <c r="B14" s="27" t="s">
        <v>62</v>
      </c>
      <c r="C14" s="4" t="b">
        <f ca="1">HestonFormula!Y58</f>
        <v>0</v>
      </c>
      <c r="E14" s="27"/>
      <c r="F14" s="4"/>
      <c r="H14" s="10" t="s">
        <v>77</v>
      </c>
      <c r="I14" s="9">
        <f t="array" aca="1" ref="I14" ca="1">SUM(--I10:I11)/COUNT(--I10:I11)*I13</f>
        <v>0</v>
      </c>
      <c r="K14" s="27" t="s">
        <v>93</v>
      </c>
      <c r="L14" s="28" t="b">
        <f ca="1">AsianMC!P20</f>
        <v>1</v>
      </c>
      <c r="N14" s="27"/>
      <c r="O14" s="4"/>
    </row>
    <row r="15" spans="2:19" x14ac:dyDescent="0.35">
      <c r="B15" s="27" t="s">
        <v>61</v>
      </c>
      <c r="C15" s="4" t="b">
        <f ca="1">HestonFormula!AF29</f>
        <v>0</v>
      </c>
      <c r="E15" s="27"/>
      <c r="F15" s="4"/>
      <c r="K15" s="27"/>
      <c r="L15" s="4"/>
      <c r="N15" s="27"/>
      <c r="O15" s="4"/>
    </row>
    <row r="16" spans="2:19" x14ac:dyDescent="0.35">
      <c r="B16" s="27" t="s">
        <v>60</v>
      </c>
      <c r="C16" s="4" t="b">
        <f ca="1">HestonFormula!AF58</f>
        <v>0</v>
      </c>
      <c r="E16" s="27"/>
      <c r="F16" s="4"/>
      <c r="K16" s="27" t="s">
        <v>76</v>
      </c>
      <c r="L16" s="4">
        <v>6</v>
      </c>
      <c r="N16" s="27" t="s">
        <v>76</v>
      </c>
      <c r="O16" s="4">
        <v>6</v>
      </c>
    </row>
    <row r="17" spans="2:15" x14ac:dyDescent="0.35">
      <c r="B17" s="27"/>
      <c r="C17" s="4"/>
      <c r="E17" s="27"/>
      <c r="F17" s="4"/>
      <c r="K17" s="10" t="s">
        <v>77</v>
      </c>
      <c r="L17" s="9">
        <f t="array" aca="1" ref="L17" ca="1">SUM(--L10:L14)/COUNT(--L10:L14)*L16</f>
        <v>4.8000000000000007</v>
      </c>
      <c r="N17" s="10" t="s">
        <v>77</v>
      </c>
      <c r="O17" s="9">
        <f t="array" aca="1" ref="O17" ca="1">SUM(--O10:O13)/COUNT(--O10:O13)*O16</f>
        <v>6</v>
      </c>
    </row>
    <row r="18" spans="2:15" x14ac:dyDescent="0.35">
      <c r="B18" s="27" t="s">
        <v>76</v>
      </c>
      <c r="C18" s="4">
        <v>6</v>
      </c>
      <c r="E18" s="27" t="s">
        <v>76</v>
      </c>
      <c r="F18" s="4">
        <v>6</v>
      </c>
    </row>
    <row r="19" spans="2:15" x14ac:dyDescent="0.35">
      <c r="B19" s="10" t="s">
        <v>77</v>
      </c>
      <c r="C19" s="9">
        <f t="array" aca="1" ref="C19" ca="1">SUM(--C10:C16)/COUNT(--C10:C16)*C18</f>
        <v>1.7142857142857142</v>
      </c>
      <c r="E19" s="10" t="s">
        <v>77</v>
      </c>
      <c r="F19" s="9">
        <f t="array" aca="1" ref="F19" ca="1">SUM(--F10:F13)/COUNT(--F10:F13)*F18</f>
        <v>6</v>
      </c>
    </row>
    <row r="20" spans="2:15" ht="15" thickBot="1" x14ac:dyDescent="0.4"/>
    <row r="21" spans="2:15" ht="15" thickBot="1" x14ac:dyDescent="0.4">
      <c r="B21" s="34" t="s">
        <v>104</v>
      </c>
      <c r="C21" s="35">
        <v>7</v>
      </c>
    </row>
    <row r="22" spans="2:15" x14ac:dyDescent="0.35">
      <c r="B22" s="45" t="s">
        <v>119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5"/>
    </row>
    <row r="23" spans="2:15" x14ac:dyDescent="0.35">
      <c r="B23" s="46" t="s">
        <v>120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39"/>
    </row>
    <row r="24" spans="2:15" x14ac:dyDescent="0.35">
      <c r="B24" s="38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39"/>
    </row>
    <row r="25" spans="2:15" x14ac:dyDescent="0.35">
      <c r="B25" s="3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39"/>
    </row>
    <row r="26" spans="2:15" ht="15" thickBot="1" x14ac:dyDescent="0.4">
      <c r="B26" s="40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2"/>
    </row>
    <row r="27" spans="2:15" ht="15" thickBot="1" x14ac:dyDescent="0.4"/>
    <row r="28" spans="2:15" ht="15" thickBot="1" x14ac:dyDescent="0.4">
      <c r="B28" s="34" t="s">
        <v>105</v>
      </c>
      <c r="C28" s="35">
        <v>10</v>
      </c>
    </row>
    <row r="29" spans="2:15" x14ac:dyDescent="0.35">
      <c r="B29" s="45" t="s">
        <v>116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5"/>
    </row>
    <row r="30" spans="2:15" x14ac:dyDescent="0.35">
      <c r="B30" s="46" t="s">
        <v>117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39"/>
    </row>
    <row r="31" spans="2:15" x14ac:dyDescent="0.35">
      <c r="B31" s="46" t="s">
        <v>118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39"/>
    </row>
    <row r="32" spans="2:15" x14ac:dyDescent="0.35">
      <c r="B32" s="38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39"/>
    </row>
    <row r="33" spans="2:15" ht="15" thickBot="1" x14ac:dyDescent="0.4">
      <c r="B33" s="40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2"/>
    </row>
    <row r="34" spans="2:15" ht="15" thickBot="1" x14ac:dyDescent="0.4"/>
    <row r="35" spans="2:15" ht="15" thickBot="1" x14ac:dyDescent="0.4">
      <c r="B35" s="34" t="s">
        <v>106</v>
      </c>
      <c r="C35" s="35">
        <v>11</v>
      </c>
    </row>
    <row r="36" spans="2:15" x14ac:dyDescent="0.35">
      <c r="B36" s="45" t="s">
        <v>115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5"/>
    </row>
    <row r="37" spans="2:15" x14ac:dyDescent="0.35">
      <c r="B37" s="38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39"/>
    </row>
    <row r="38" spans="2:15" x14ac:dyDescent="0.35">
      <c r="B38" s="38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39"/>
    </row>
    <row r="39" spans="2:15" x14ac:dyDescent="0.35">
      <c r="B39" s="38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39"/>
    </row>
    <row r="40" spans="2:15" ht="15" thickBot="1" x14ac:dyDescent="0.4">
      <c r="B40" s="40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2"/>
    </row>
  </sheetData>
  <pageMargins left="0.7" right="0.7" top="0.75" bottom="0.75" header="0.3" footer="0.3"/>
  <pageSetup paperSize="9" scale="7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8E2B2-88C9-4F05-87AE-DF0023655315}">
  <sheetPr codeName="Sheet7"/>
  <dimension ref="A1:S44"/>
  <sheetViews>
    <sheetView workbookViewId="0">
      <selection activeCell="B2" sqref="B2:P38"/>
    </sheetView>
  </sheetViews>
  <sheetFormatPr defaultRowHeight="14.5" x14ac:dyDescent="0.35"/>
  <cols>
    <col min="2" max="2" width="17.90625" bestFit="1" customWidth="1"/>
    <col min="3" max="3" width="8.36328125" customWidth="1"/>
  </cols>
  <sheetData>
    <row r="1" spans="1:19" ht="15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" thickBot="1" x14ac:dyDescent="0.4">
      <c r="A2" s="1"/>
      <c r="B2" s="26" t="s">
        <v>103</v>
      </c>
      <c r="C2" s="25" t="s">
        <v>121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5" thickBot="1" x14ac:dyDescent="0.4">
      <c r="A3" s="1"/>
      <c r="B3" s="26" t="s">
        <v>98</v>
      </c>
      <c r="C3" s="25" t="s">
        <v>122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>
      <c r="A4" s="1"/>
      <c r="B4" s="26" t="s">
        <v>110</v>
      </c>
      <c r="C4" s="25">
        <v>46.51428571428572</v>
      </c>
      <c r="D4" s="32" t="s">
        <v>111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15" thickBot="1" x14ac:dyDescent="0.4">
      <c r="A5" s="1"/>
      <c r="B5" s="26" t="s">
        <v>109</v>
      </c>
      <c r="C5" s="25">
        <v>0</v>
      </c>
      <c r="D5" s="44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ht="15" thickBot="1" x14ac:dyDescent="0.4">
      <c r="A6" s="1"/>
      <c r="B6" s="26" t="s">
        <v>108</v>
      </c>
      <c r="C6" s="43">
        <v>46</v>
      </c>
      <c r="D6" s="32">
        <v>0.57499999999999996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15" thickBot="1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15" thickBot="1" x14ac:dyDescent="0.4">
      <c r="A8" s="1"/>
      <c r="B8" s="26" t="s">
        <v>107</v>
      </c>
      <c r="C8" s="25">
        <v>18.514285714285716</v>
      </c>
      <c r="D8" s="32">
        <v>0.61714285714285722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35">
      <c r="A9" s="1"/>
      <c r="B9" s="10" t="s">
        <v>52</v>
      </c>
      <c r="C9" s="9" t="s">
        <v>46</v>
      </c>
      <c r="D9" s="1"/>
      <c r="E9" s="10" t="s">
        <v>74</v>
      </c>
      <c r="F9" s="9" t="s">
        <v>46</v>
      </c>
      <c r="G9" s="1"/>
      <c r="H9" s="10" t="s">
        <v>96</v>
      </c>
      <c r="I9" s="9" t="s">
        <v>46</v>
      </c>
      <c r="J9" s="1"/>
      <c r="K9" s="10" t="s">
        <v>79</v>
      </c>
      <c r="L9" s="9" t="s">
        <v>46</v>
      </c>
      <c r="M9" s="1"/>
      <c r="N9" s="10" t="s">
        <v>78</v>
      </c>
      <c r="O9" s="9" t="s">
        <v>46</v>
      </c>
      <c r="P9" s="1"/>
      <c r="Q9" s="1"/>
      <c r="R9" s="1"/>
      <c r="S9" s="1"/>
    </row>
    <row r="10" spans="1:19" x14ac:dyDescent="0.35">
      <c r="A10" s="1"/>
      <c r="B10" s="27" t="s">
        <v>53</v>
      </c>
      <c r="C10" s="4" t="b">
        <v>1</v>
      </c>
      <c r="D10" s="1"/>
      <c r="E10" s="27" t="s">
        <v>75</v>
      </c>
      <c r="F10" s="4" t="b">
        <v>1</v>
      </c>
      <c r="G10" s="1"/>
      <c r="H10" s="2" t="s">
        <v>97</v>
      </c>
      <c r="I10" s="3" t="b">
        <v>0</v>
      </c>
      <c r="J10" s="1"/>
      <c r="K10" s="27" t="s">
        <v>89</v>
      </c>
      <c r="L10" s="4" t="b">
        <v>1</v>
      </c>
      <c r="M10" s="1"/>
      <c r="N10" s="27" t="s">
        <v>81</v>
      </c>
      <c r="O10" s="4" t="b">
        <v>1</v>
      </c>
      <c r="P10" s="1"/>
      <c r="Q10" s="1"/>
      <c r="R10" s="1"/>
      <c r="S10" s="1"/>
    </row>
    <row r="11" spans="1:19" x14ac:dyDescent="0.35">
      <c r="A11" s="1"/>
      <c r="B11" s="27" t="s">
        <v>65</v>
      </c>
      <c r="C11" s="4" t="b">
        <v>0</v>
      </c>
      <c r="D11" s="1"/>
      <c r="E11" s="27" t="s">
        <v>65</v>
      </c>
      <c r="F11" s="4" t="b">
        <v>1</v>
      </c>
      <c r="G11" s="1"/>
      <c r="H11" s="27" t="s">
        <v>101</v>
      </c>
      <c r="I11" s="4" t="b">
        <v>0</v>
      </c>
      <c r="J11" s="1"/>
      <c r="K11" s="27" t="s">
        <v>90</v>
      </c>
      <c r="L11" s="4" t="b">
        <v>1</v>
      </c>
      <c r="M11" s="1"/>
      <c r="N11" s="27" t="s">
        <v>65</v>
      </c>
      <c r="O11" s="4" t="b">
        <v>1</v>
      </c>
      <c r="P11" s="1"/>
      <c r="Q11" s="1"/>
      <c r="R11" s="1"/>
      <c r="S11" s="1"/>
    </row>
    <row r="12" spans="1:19" x14ac:dyDescent="0.35">
      <c r="A12" s="1"/>
      <c r="B12" s="27" t="s">
        <v>64</v>
      </c>
      <c r="C12" s="4" t="b">
        <v>1</v>
      </c>
      <c r="D12" s="1"/>
      <c r="E12" s="27" t="s">
        <v>64</v>
      </c>
      <c r="F12" s="4" t="b">
        <v>1</v>
      </c>
      <c r="G12" s="1"/>
      <c r="H12" s="27"/>
      <c r="I12" s="4"/>
      <c r="J12" s="1"/>
      <c r="K12" s="27" t="s">
        <v>91</v>
      </c>
      <c r="L12" s="4" t="b">
        <v>0</v>
      </c>
      <c r="M12" s="1"/>
      <c r="N12" s="27" t="s">
        <v>64</v>
      </c>
      <c r="O12" s="4" t="b">
        <v>1</v>
      </c>
      <c r="P12" s="1"/>
      <c r="Q12" s="1"/>
      <c r="R12" s="1"/>
      <c r="S12" s="1"/>
    </row>
    <row r="13" spans="1:19" x14ac:dyDescent="0.35">
      <c r="A13" s="1"/>
      <c r="B13" s="27" t="s">
        <v>63</v>
      </c>
      <c r="C13" s="4" t="b">
        <v>0</v>
      </c>
      <c r="D13" s="1"/>
      <c r="E13" s="27" t="s">
        <v>62</v>
      </c>
      <c r="F13" s="4" t="b">
        <v>1</v>
      </c>
      <c r="G13" s="1"/>
      <c r="H13" s="30" t="s">
        <v>76</v>
      </c>
      <c r="I13" s="5">
        <v>6</v>
      </c>
      <c r="J13" s="1"/>
      <c r="K13" s="27" t="s">
        <v>92</v>
      </c>
      <c r="L13" s="28" t="b">
        <v>1</v>
      </c>
      <c r="M13" s="1"/>
      <c r="N13" s="27" t="s">
        <v>83</v>
      </c>
      <c r="O13" s="4" t="b">
        <v>1</v>
      </c>
      <c r="P13" s="1"/>
      <c r="Q13" s="1"/>
      <c r="R13" s="1"/>
      <c r="S13" s="1"/>
    </row>
    <row r="14" spans="1:19" x14ac:dyDescent="0.35">
      <c r="A14" s="1"/>
      <c r="B14" s="27" t="s">
        <v>62</v>
      </c>
      <c r="C14" s="4" t="b">
        <v>0</v>
      </c>
      <c r="D14" s="1"/>
      <c r="E14" s="27"/>
      <c r="F14" s="4"/>
      <c r="G14" s="1"/>
      <c r="H14" s="10" t="s">
        <v>77</v>
      </c>
      <c r="I14" s="9">
        <v>0</v>
      </c>
      <c r="J14" s="1"/>
      <c r="K14" s="27" t="s">
        <v>93</v>
      </c>
      <c r="L14" s="28" t="b">
        <v>1</v>
      </c>
      <c r="M14" s="1"/>
      <c r="N14" s="27"/>
      <c r="O14" s="4"/>
      <c r="P14" s="1"/>
      <c r="Q14" s="1"/>
      <c r="R14" s="1"/>
      <c r="S14" s="1"/>
    </row>
    <row r="15" spans="1:19" x14ac:dyDescent="0.35">
      <c r="A15" s="1"/>
      <c r="B15" s="27" t="s">
        <v>61</v>
      </c>
      <c r="C15" s="4" t="b">
        <v>0</v>
      </c>
      <c r="D15" s="1"/>
      <c r="E15" s="27"/>
      <c r="F15" s="4"/>
      <c r="G15" s="1"/>
      <c r="H15" s="1"/>
      <c r="I15" s="1"/>
      <c r="J15" s="1"/>
      <c r="K15" s="27"/>
      <c r="L15" s="4"/>
      <c r="M15" s="1"/>
      <c r="N15" s="27"/>
      <c r="O15" s="4"/>
      <c r="P15" s="1"/>
      <c r="Q15" s="1"/>
      <c r="R15" s="1"/>
      <c r="S15" s="1"/>
    </row>
    <row r="16" spans="1:19" x14ac:dyDescent="0.35">
      <c r="A16" s="1"/>
      <c r="B16" s="27" t="s">
        <v>60</v>
      </c>
      <c r="C16" s="4" t="b">
        <v>0</v>
      </c>
      <c r="D16" s="1"/>
      <c r="E16" s="27"/>
      <c r="F16" s="4"/>
      <c r="G16" s="1"/>
      <c r="H16" s="1"/>
      <c r="I16" s="1"/>
      <c r="J16" s="1"/>
      <c r="K16" s="27" t="s">
        <v>76</v>
      </c>
      <c r="L16" s="4">
        <v>6</v>
      </c>
      <c r="M16" s="1"/>
      <c r="N16" s="27" t="s">
        <v>76</v>
      </c>
      <c r="O16" s="4">
        <v>6</v>
      </c>
      <c r="P16" s="1"/>
      <c r="Q16" s="1"/>
      <c r="R16" s="1"/>
      <c r="S16" s="1"/>
    </row>
    <row r="17" spans="1:19" x14ac:dyDescent="0.35">
      <c r="A17" s="1"/>
      <c r="B17" s="27"/>
      <c r="C17" s="4"/>
      <c r="D17" s="1"/>
      <c r="E17" s="27"/>
      <c r="F17" s="4"/>
      <c r="G17" s="1"/>
      <c r="H17" s="1"/>
      <c r="I17" s="1"/>
      <c r="J17" s="1"/>
      <c r="K17" s="10" t="s">
        <v>77</v>
      </c>
      <c r="L17" s="9">
        <v>4.8000000000000007</v>
      </c>
      <c r="M17" s="1"/>
      <c r="N17" s="10" t="s">
        <v>77</v>
      </c>
      <c r="O17" s="9">
        <v>6</v>
      </c>
      <c r="P17" s="1"/>
      <c r="Q17" s="1"/>
      <c r="R17" s="1"/>
      <c r="S17" s="1"/>
    </row>
    <row r="18" spans="1:19" x14ac:dyDescent="0.35">
      <c r="A18" s="1"/>
      <c r="B18" s="27" t="s">
        <v>76</v>
      </c>
      <c r="C18" s="4">
        <v>6</v>
      </c>
      <c r="D18" s="1"/>
      <c r="E18" s="27" t="s">
        <v>76</v>
      </c>
      <c r="F18" s="4">
        <v>6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35">
      <c r="A19" s="1"/>
      <c r="B19" s="10" t="s">
        <v>77</v>
      </c>
      <c r="C19" s="9">
        <v>1.7142857142857142</v>
      </c>
      <c r="D19" s="1"/>
      <c r="E19" s="10" t="s">
        <v>77</v>
      </c>
      <c r="F19" s="9">
        <v>6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5" thickBot="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5" thickBot="1" x14ac:dyDescent="0.4">
      <c r="A21" s="1"/>
      <c r="B21" s="34" t="s">
        <v>104</v>
      </c>
      <c r="C21" s="35">
        <v>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35">
      <c r="A22" s="1"/>
      <c r="B22" s="45" t="s">
        <v>119</v>
      </c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5"/>
      <c r="P22" s="1"/>
      <c r="Q22" s="1"/>
      <c r="R22" s="1"/>
      <c r="S22" s="1"/>
    </row>
    <row r="23" spans="1:19" x14ac:dyDescent="0.35">
      <c r="A23" s="1"/>
      <c r="B23" s="46" t="s">
        <v>120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39"/>
      <c r="P23" s="1"/>
      <c r="Q23" s="1"/>
      <c r="R23" s="1"/>
      <c r="S23" s="1"/>
    </row>
    <row r="24" spans="1:19" x14ac:dyDescent="0.35">
      <c r="A24" s="1"/>
      <c r="B24" s="38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39"/>
      <c r="P24" s="1"/>
      <c r="Q24" s="1"/>
      <c r="R24" s="1"/>
      <c r="S24" s="1"/>
    </row>
    <row r="25" spans="1:19" x14ac:dyDescent="0.35">
      <c r="A25" s="1"/>
      <c r="B25" s="3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39"/>
      <c r="P25" s="1"/>
      <c r="Q25" s="1"/>
      <c r="R25" s="1"/>
      <c r="S25" s="1"/>
    </row>
    <row r="26" spans="1:19" ht="15" thickBot="1" x14ac:dyDescent="0.4">
      <c r="A26" s="1"/>
      <c r="B26" s="40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2"/>
      <c r="P26" s="1"/>
      <c r="Q26" s="1"/>
      <c r="R26" s="1"/>
      <c r="S26" s="1"/>
    </row>
    <row r="27" spans="1:19" ht="15" thickBot="1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15" thickBot="1" x14ac:dyDescent="0.4">
      <c r="A28" s="1"/>
      <c r="B28" s="34" t="s">
        <v>105</v>
      </c>
      <c r="C28" s="35">
        <v>10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35">
      <c r="A29" s="1"/>
      <c r="B29" s="36" t="s">
        <v>116</v>
      </c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5"/>
      <c r="P29" s="1"/>
      <c r="Q29" s="1"/>
      <c r="R29" s="1"/>
      <c r="S29" s="1"/>
    </row>
    <row r="30" spans="1:19" x14ac:dyDescent="0.35">
      <c r="A30" s="1"/>
      <c r="B30" s="38" t="s">
        <v>117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39"/>
      <c r="P30" s="1"/>
      <c r="Q30" s="1"/>
      <c r="R30" s="1"/>
      <c r="S30" s="1"/>
    </row>
    <row r="31" spans="1:19" x14ac:dyDescent="0.35">
      <c r="A31" s="1"/>
      <c r="B31" s="38" t="s">
        <v>118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39"/>
      <c r="P31" s="1"/>
      <c r="Q31" s="1"/>
      <c r="R31" s="1"/>
      <c r="S31" s="1"/>
    </row>
    <row r="32" spans="1:19" x14ac:dyDescent="0.35">
      <c r="A32" s="1"/>
      <c r="B32" s="38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39"/>
      <c r="P32" s="1"/>
      <c r="Q32" s="1"/>
      <c r="R32" s="1"/>
      <c r="S32" s="1"/>
    </row>
    <row r="33" spans="1:19" ht="15" thickBot="1" x14ac:dyDescent="0.4">
      <c r="A33" s="1"/>
      <c r="B33" s="40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2"/>
      <c r="P33" s="1"/>
      <c r="Q33" s="1"/>
      <c r="R33" s="1"/>
      <c r="S33" s="1"/>
    </row>
    <row r="34" spans="1:19" ht="15" thickBot="1" x14ac:dyDescent="0.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ht="15" thickBot="1" x14ac:dyDescent="0.4">
      <c r="A35" s="1"/>
      <c r="B35" s="34" t="s">
        <v>106</v>
      </c>
      <c r="C35" s="35">
        <v>11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35">
      <c r="A36" s="1"/>
      <c r="B36" s="36" t="s">
        <v>115</v>
      </c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5"/>
      <c r="P36" s="1"/>
      <c r="Q36" s="1"/>
      <c r="R36" s="1"/>
      <c r="S36" s="1"/>
    </row>
    <row r="37" spans="1:19" x14ac:dyDescent="0.35">
      <c r="A37" s="1"/>
      <c r="B37" s="38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39"/>
      <c r="P37" s="1"/>
      <c r="Q37" s="1"/>
      <c r="R37" s="1"/>
      <c r="S37" s="1"/>
    </row>
    <row r="38" spans="1:19" x14ac:dyDescent="0.35">
      <c r="A38" s="1"/>
      <c r="B38" s="38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39"/>
      <c r="P38" s="1"/>
      <c r="Q38" s="1"/>
      <c r="R38" s="1"/>
      <c r="S38" s="1"/>
    </row>
    <row r="39" spans="1:19" x14ac:dyDescent="0.35">
      <c r="A39" s="1"/>
      <c r="B39" s="38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39"/>
      <c r="P39" s="1"/>
      <c r="Q39" s="1"/>
      <c r="R39" s="1"/>
      <c r="S39" s="1"/>
    </row>
    <row r="40" spans="1:19" ht="15" thickBot="1" x14ac:dyDescent="0.4">
      <c r="A40" s="1"/>
      <c r="B40" s="40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2"/>
      <c r="P40" s="1"/>
      <c r="Q40" s="1"/>
      <c r="R40" s="1"/>
      <c r="S40" s="1"/>
    </row>
    <row r="41" spans="1:19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HestonFormula</vt:lpstr>
      <vt:lpstr>HestonCallMC</vt:lpstr>
      <vt:lpstr>Calibration</vt:lpstr>
      <vt:lpstr>LookbackMC</vt:lpstr>
      <vt:lpstr>AsianMC</vt:lpstr>
      <vt:lpstr>Summary</vt:lpstr>
      <vt:lpstr>Summary_static</vt:lpstr>
      <vt:lpstr>studentName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SISKA David</dc:creator>
  <cp:lastModifiedBy>Witold Gawlikowicz</cp:lastModifiedBy>
  <cp:lastPrinted>2019-01-29T23:32:20Z</cp:lastPrinted>
  <dcterms:created xsi:type="dcterms:W3CDTF">2015-09-03T10:32:09Z</dcterms:created>
  <dcterms:modified xsi:type="dcterms:W3CDTF">2019-01-30T22:41:06Z</dcterms:modified>
</cp:coreProperties>
</file>